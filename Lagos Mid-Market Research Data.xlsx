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FC05E2-E7E1-42A7-B990-4677D056ECA7}" xr6:coauthVersionLast="47" xr6:coauthVersionMax="47" xr10:uidLastSave="{00000000-0000-0000-0000-000000000000}"/>
  <bookViews>
    <workbookView xWindow="-108" yWindow="-108" windowWidth="23256" windowHeight="12456" activeTab="1" xr2:uid="{7FA22C12-DF6E-4BEB-A637-852C88FE46B0}"/>
  </bookViews>
  <sheets>
    <sheet name="Source Data" sheetId="1" r:id="rId1"/>
    <sheet name="Clean Data" sheetId="2" r:id="rId2"/>
    <sheet name="Analysis" sheetId="3" r:id="rId3"/>
    <sheet name="Dashboard" sheetId="4" r:id="rId4"/>
  </sheets>
  <externalReferences>
    <externalReference r:id="rId5"/>
  </externalReferences>
  <definedNames>
    <definedName name="_xlchart.v1.0" hidden="1">Analysis!$D$68:$D$74</definedName>
    <definedName name="_xlchart.v1.1" hidden="1">Analysis!$E$67</definedName>
    <definedName name="_xlchart.v1.2" hidden="1">Analysis!$E$68:$E$74</definedName>
    <definedName name="_xlcn.WorksheetConnection_Book1DimDate1" hidden="1">[1]!DimDate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Date-1e2da2e6-cbc7-43cf-9ece-7206e27e7b3e" name="DimDate" connection="WorksheetConnection_Book1!DimDa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3" l="1"/>
  <c r="J12" i="3"/>
  <c r="J13" i="3"/>
  <c r="J14" i="3"/>
  <c r="J15" i="3"/>
  <c r="J16" i="3"/>
  <c r="J17" i="3"/>
  <c r="J18" i="3"/>
  <c r="J19" i="3"/>
  <c r="J20" i="3"/>
  <c r="J21" i="3"/>
  <c r="J22" i="3"/>
  <c r="I12" i="3"/>
  <c r="I13" i="3"/>
  <c r="I14" i="3"/>
  <c r="I15" i="3"/>
  <c r="I16" i="3"/>
  <c r="I17" i="3"/>
  <c r="I18" i="3"/>
  <c r="I19" i="3"/>
  <c r="I20" i="3"/>
  <c r="I21" i="3"/>
  <c r="I22" i="3"/>
  <c r="C70" i="3"/>
  <c r="C72" i="3"/>
  <c r="C69" i="3"/>
  <c r="C74" i="3"/>
  <c r="C68" i="3"/>
  <c r="C73" i="3"/>
  <c r="B70" i="3"/>
  <c r="B72" i="3"/>
  <c r="B71" i="3"/>
  <c r="B73" i="3"/>
  <c r="B68" i="3"/>
  <c r="B74" i="3"/>
  <c r="E28" i="3"/>
  <c r="E27" i="3"/>
  <c r="C20" i="3"/>
  <c r="D20" i="3"/>
  <c r="G20" i="3" s="1"/>
  <c r="E20" i="3"/>
  <c r="F20" i="3"/>
  <c r="B33" i="3"/>
  <c r="H20" i="3" l="1"/>
  <c r="B52" i="3"/>
  <c r="B30" i="3"/>
  <c r="B43" i="3"/>
  <c r="B31" i="3"/>
  <c r="B29" i="3"/>
  <c r="E2" i="3"/>
  <c r="D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1" i="3"/>
  <c r="F22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1" i="3"/>
  <c r="E22" i="3"/>
  <c r="C3" i="3"/>
  <c r="B64" i="3" s="1"/>
  <c r="C4" i="3"/>
  <c r="C5" i="3"/>
  <c r="C6" i="3"/>
  <c r="B63" i="3" s="1"/>
  <c r="C7" i="3"/>
  <c r="C8" i="3"/>
  <c r="C9" i="3"/>
  <c r="B59" i="3" s="1"/>
  <c r="C10" i="3"/>
  <c r="C11" i="3"/>
  <c r="C12" i="3"/>
  <c r="B60" i="3" s="1"/>
  <c r="C13" i="3"/>
  <c r="C14" i="3"/>
  <c r="C15" i="3"/>
  <c r="B61" i="3" s="1"/>
  <c r="C16" i="3"/>
  <c r="C17" i="3"/>
  <c r="C18" i="3"/>
  <c r="B58" i="3" s="1"/>
  <c r="C19" i="3"/>
  <c r="C21" i="3"/>
  <c r="B62" i="3" s="1"/>
  <c r="C22" i="3"/>
  <c r="D3" i="3"/>
  <c r="E64" i="3" s="1"/>
  <c r="D4" i="3"/>
  <c r="D5" i="3"/>
  <c r="D6" i="3"/>
  <c r="D7" i="3"/>
  <c r="D8" i="3"/>
  <c r="D9" i="3"/>
  <c r="D10" i="3"/>
  <c r="D11" i="3"/>
  <c r="D12" i="3"/>
  <c r="E60" i="3" s="1"/>
  <c r="D13" i="3"/>
  <c r="D14" i="3"/>
  <c r="D15" i="3"/>
  <c r="D16" i="3"/>
  <c r="D17" i="3"/>
  <c r="D18" i="3"/>
  <c r="D19" i="3"/>
  <c r="D21" i="3"/>
  <c r="E62" i="3" s="1"/>
  <c r="D22" i="3"/>
  <c r="C2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E63" i="3" l="1"/>
  <c r="E58" i="3"/>
  <c r="E61" i="3"/>
  <c r="E59" i="3"/>
  <c r="D38" i="3"/>
  <c r="D53" i="3"/>
  <c r="C38" i="3"/>
  <c r="C53" i="3"/>
  <c r="C63" i="3"/>
  <c r="D43" i="3"/>
  <c r="D52" i="3"/>
  <c r="C40" i="3"/>
  <c r="C60" i="3"/>
  <c r="C50" i="3"/>
  <c r="D42" i="3"/>
  <c r="D48" i="3"/>
  <c r="B40" i="3"/>
  <c r="B50" i="3"/>
  <c r="C37" i="3"/>
  <c r="C54" i="3"/>
  <c r="C64" i="3"/>
  <c r="C41" i="3"/>
  <c r="C51" i="3"/>
  <c r="C61" i="3"/>
  <c r="D40" i="3"/>
  <c r="D50" i="3"/>
  <c r="C43" i="3"/>
  <c r="C52" i="3"/>
  <c r="C62" i="3"/>
  <c r="D39" i="3"/>
  <c r="D49" i="3"/>
  <c r="B42" i="3"/>
  <c r="B48" i="3"/>
  <c r="C39" i="3"/>
  <c r="C59" i="3"/>
  <c r="C49" i="3"/>
  <c r="B41" i="3"/>
  <c r="B51" i="3"/>
  <c r="B38" i="3"/>
  <c r="B53" i="3"/>
  <c r="D37" i="3"/>
  <c r="D54" i="3"/>
  <c r="C42" i="3"/>
  <c r="C58" i="3"/>
  <c r="C48" i="3"/>
  <c r="D41" i="3"/>
  <c r="D51" i="3"/>
  <c r="B39" i="3"/>
  <c r="B49" i="3"/>
  <c r="B37" i="3"/>
  <c r="B54" i="3"/>
  <c r="J4" i="3"/>
  <c r="G2" i="3"/>
  <c r="J8" i="3"/>
  <c r="H19" i="3"/>
  <c r="I10" i="3"/>
  <c r="G22" i="3"/>
  <c r="G14" i="3"/>
  <c r="G6" i="3"/>
  <c r="H18" i="3"/>
  <c r="H10" i="3"/>
  <c r="J2" i="3"/>
  <c r="J7" i="3"/>
  <c r="H4" i="3"/>
  <c r="J3" i="3"/>
  <c r="G15" i="3"/>
  <c r="H11" i="3"/>
  <c r="G17" i="3"/>
  <c r="G9" i="3"/>
  <c r="G21" i="3"/>
  <c r="G13" i="3"/>
  <c r="G5" i="3"/>
  <c r="H17" i="3"/>
  <c r="H9" i="3"/>
  <c r="H14" i="3"/>
  <c r="H6" i="3"/>
  <c r="G7" i="3"/>
  <c r="H3" i="3"/>
  <c r="G16" i="3"/>
  <c r="G8" i="3"/>
  <c r="G12" i="3"/>
  <c r="G4" i="3"/>
  <c r="H21" i="3"/>
  <c r="H13" i="3"/>
  <c r="H5" i="3"/>
  <c r="H12" i="3"/>
  <c r="J6" i="3"/>
  <c r="I9" i="3"/>
  <c r="J5" i="3"/>
  <c r="I4" i="3"/>
  <c r="J9" i="3"/>
  <c r="I8" i="3"/>
  <c r="G18" i="3"/>
  <c r="G10" i="3"/>
  <c r="H2" i="3"/>
  <c r="H15" i="3"/>
  <c r="H7" i="3"/>
  <c r="I2" i="3"/>
  <c r="I7" i="3"/>
  <c r="I6" i="3"/>
  <c r="J11" i="3"/>
  <c r="G19" i="3"/>
  <c r="G11" i="3"/>
  <c r="G3" i="3"/>
  <c r="H16" i="3"/>
  <c r="H8" i="3"/>
  <c r="I5" i="3"/>
  <c r="J10" i="3"/>
  <c r="H22" i="3"/>
  <c r="I3" i="3"/>
  <c r="E26" i="3" l="1"/>
  <c r="B26" i="3"/>
  <c r="B32" i="3" s="1"/>
  <c r="B27" i="3"/>
  <c r="B2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5CB19-A946-4F2B-99BF-93AF2BAB0B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BB2575-FEB9-463A-8992-73F2D51AF4A5}" name="WorksheetConnection_Book1!DimDate" type="102" refreshedVersion="8" minRefreshableVersion="5">
    <extLst>
      <ext xmlns:x15="http://schemas.microsoft.com/office/spreadsheetml/2010/11/main" uri="{DE250136-89BD-433C-8126-D09CA5730AF9}">
        <x15:connection id="DimDate-1e2da2e6-cbc7-43cf-9ece-7206e27e7b3e">
          <x15:rangePr sourceName="_xlcn.WorksheetConnection_Book1DimDate1"/>
        </x15:connection>
      </ext>
    </extLst>
  </connection>
</connections>
</file>

<file path=xl/sharedStrings.xml><?xml version="1.0" encoding="utf-8"?>
<sst xmlns="http://schemas.openxmlformats.org/spreadsheetml/2006/main" count="2866" uniqueCount="452">
  <si>
    <t>Data ID</t>
  </si>
  <si>
    <t>Research Area</t>
  </si>
  <si>
    <t>Indicator</t>
  </si>
  <si>
    <t>Location</t>
  </si>
  <si>
    <t>Segment</t>
  </si>
  <si>
    <t>Period</t>
  </si>
  <si>
    <t>Unit</t>
  </si>
  <si>
    <t>Data_Type</t>
  </si>
  <si>
    <t>Source_Name</t>
  </si>
  <si>
    <t>Source_Url</t>
  </si>
  <si>
    <t>Pricing</t>
  </si>
  <si>
    <t>Mid-market</t>
  </si>
  <si>
    <t>NGN/year</t>
  </si>
  <si>
    <t>Reported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</si>
  <si>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</si>
  <si>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</si>
  <si>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</si>
  <si>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</si>
  <si>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</si>
  <si>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</si>
  <si>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</si>
  <si>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</si>
  <si>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</si>
  <si>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</si>
  <si>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</si>
  <si>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</si>
  <si>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</si>
  <si>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</si>
  <si>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</si>
  <si>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</si>
  <si>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</si>
  <si>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</si>
  <si>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</si>
  <si>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</si>
  <si>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</si>
  <si>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</si>
  <si>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</si>
  <si>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</si>
  <si>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</si>
  <si>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</si>
  <si>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</si>
  <si>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</si>
  <si>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</si>
  <si>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</si>
  <si>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</si>
  <si>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</si>
  <si>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</si>
  <si>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</si>
  <si>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</si>
  <si>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</si>
  <si>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</si>
  <si>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</si>
  <si>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</si>
  <si>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</si>
  <si>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</si>
  <si>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</si>
  <si>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</si>
  <si>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</si>
  <si>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</si>
  <si>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</si>
  <si>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</si>
  <si>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</si>
  <si>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Yaba</t>
  </si>
  <si>
    <t>NPC</t>
  </si>
  <si>
    <t>Surulere</t>
  </si>
  <si>
    <t>Gbagada</t>
  </si>
  <si>
    <t>Ikeja</t>
  </si>
  <si>
    <t>Maryland</t>
  </si>
  <si>
    <t>2-bed rent</t>
  </si>
  <si>
    <t>1-bed rent</t>
  </si>
  <si>
    <t>3-bed rent</t>
  </si>
  <si>
    <t>Value (Avg Price)</t>
  </si>
  <si>
    <t>https://nigeriapropertycentre.com/market-trends/average-prices/for-rent/flats-apartments/lagos/yaba?bedrooms=1</t>
  </si>
  <si>
    <t>https://nigeriapropertycentre.com/market-trends/average-prices/for-rent/flats-apartments/lagos/yaba?bedrooms=2</t>
  </si>
  <si>
    <t>https://nigeriapropertycentre.com/market-trends/average-prices/for-rent/flats-apartments/lagos/yaba?bedrooms=3</t>
  </si>
  <si>
    <t>https://nigeriapropertycentre.com/market-trends/average-prices/for-rent/flats-apartments/lagos/surulere?bedrooms=1</t>
  </si>
  <si>
    <t>https://nigeriapropertycentre.com/market-trends/average-prices/for-rent/flats-apartments/lagos/surulere?bedrooms=2</t>
  </si>
  <si>
    <t>https://nigeriapropertycentre.com/market-trends/average-prices/for-rent/flats-apartments/lagos/surulere?bedrooms=3</t>
  </si>
  <si>
    <t>https://nigeriapropertycentre.com/market-trends/average-prices/for-rent/flats-apartments/lagos/gbagada?bedrooms=1</t>
  </si>
  <si>
    <t>https://nigeriapropertycentre.com/market-trends/average-prices/for-rent/flats-apartments/lagos/gbagada?bedrooms=2</t>
  </si>
  <si>
    <t>https://nigeriapropertycentre.com/market-trends/average-prices/for-rent/flats-apartments/lagos/gbagada?bedrooms=3</t>
  </si>
  <si>
    <t>https://nigeriapropertycentre.com/market-trends/average-prices/for-rent/flats-apartments/lagos/ikeja?bedrooms=1</t>
  </si>
  <si>
    <t>https://nigeriapropertycentre.com/market-trends/average-prices/for-rent/flats-apartments/lagos/ikeja?bedrooms=2</t>
  </si>
  <si>
    <t>Zikan Properties</t>
  </si>
  <si>
    <t>https://www.zikanpropsolutions.com/post/the-2026-mainland-renaissance-yaba-surulere-and-the-red-line-effect</t>
  </si>
  <si>
    <t>4500000 - 5500000</t>
  </si>
  <si>
    <t>4000000 - 5000000</t>
  </si>
  <si>
    <t>https://nigeriapropertycentre.com/market-trends/average-prices/for-rent/flats-apartments/lagos/ikeja?bedrooms=3</t>
  </si>
  <si>
    <t>Lekki</t>
  </si>
  <si>
    <t>https://nigeriapropertycentre.com/market-trends/average-prices/for-rent/flats-apartments/lagos/lekki?bedrooms=1</t>
  </si>
  <si>
    <t>https://nigeriapropertycentre.com/market-trends/average-prices/for-rent/flats-apartments/lagos/lekki?bedrooms=2</t>
  </si>
  <si>
    <t>https://nigeriapropertycentre.com/market-trends/average-prices/for-rent/flats-apartments/lagos/lekki?bedrooms=3</t>
  </si>
  <si>
    <t>Ajah</t>
  </si>
  <si>
    <t>https://nigeriapropertycentre.com/market-trends/average-prices/for-rent/flats-apartments/lagos/ajah?bedrooms=1</t>
  </si>
  <si>
    <t>https://nigeriapropertycentre.com/market-trends/average-prices/for-rent/flats-apartments/lagos/ajah?bedrooms=2</t>
  </si>
  <si>
    <t>https://nigeriapropertycentre.com/market-trends/average-prices/for-rent/flats-apartments/lagos/ajah?bedrooms=3</t>
  </si>
  <si>
    <t>https://nigeriapropertycentre.com/market-trends/average-prices/for-rent/flats-apartments/lagos/maryland?bedrooms=1</t>
  </si>
  <si>
    <t>https://nigeriapropertycentre.com/market-trends/average-prices/for-rent/flats-apartments/lagos/maryland?bedrooms=2</t>
  </si>
  <si>
    <t>https://nigeriapropertycentre.com/market-trends/average-prices/for-rent/flats-apartments/lagos/maryland?bedrooms=3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</si>
  <si>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</si>
  <si>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</si>
  <si>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</si>
  <si>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</si>
  <si>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</si>
  <si>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</si>
  <si>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</si>
  <si>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</si>
  <si>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</si>
  <si>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</si>
  <si>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</si>
  <si>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</si>
  <si>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</si>
  <si>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</si>
  <si>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</si>
  <si>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</si>
  <si>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</si>
  <si>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</si>
  <si>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</si>
  <si>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</si>
  <si>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</si>
  <si>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</si>
  <si>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</si>
  <si>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</si>
  <si>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</si>
  <si>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</si>
  <si>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</si>
  <si>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</si>
  <si>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</si>
  <si>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</si>
  <si>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NGN</t>
  </si>
  <si>
    <t>1-bed flat sale price</t>
  </si>
  <si>
    <t>2-bed flat sale price</t>
  </si>
  <si>
    <t>https://nigeriapropertycentre.com/market-trends/average-prices/for-sale/flats-apartments/lagos/yaba?bedrooms=1</t>
  </si>
  <si>
    <t>https://nigeriapropertycentre.com/market-trends/average-prices/for-sale/houses/lagos/surulere?bedrooms=2</t>
  </si>
  <si>
    <t>https://nigeriapropertycentre.com/market-trends/average-prices/for-sale/houses/lagos/surulere?bedrooms=1</t>
  </si>
  <si>
    <t>https://nigeriapropertycentre.com/market-trends/average-prices/for-sale/flats-apartments/lagos/ikeja?bedrooms=1</t>
  </si>
  <si>
    <t>3-bed flat sale price</t>
  </si>
  <si>
    <t>https://nigeriapropertycentre.com/market-trends/average-prices/for-sale/flats-apartments/lagos/ikeja?bedrooms=2</t>
  </si>
  <si>
    <t>https://nigeriapropertycentre.com/market-trends/average-prices/for-sale/flats-apartments/lagos/yaba?bedrooms=2</t>
  </si>
  <si>
    <t>https://nigeriapropertycentre.com/market-trends/average-prices/for-sale/flats-apartments/lagos/yaba?bedrooms=3</t>
  </si>
  <si>
    <t>https://nigeriapropertycentre.com/market-trends/average-prices/for-sale/flats-apartments/lagos/ikeja?bedrooms=3</t>
  </si>
  <si>
    <t>https://nigeriapropertycentre.com/market-trends/average-prices/for-sale/houses/lagos/surulere?bedrooms=3</t>
  </si>
  <si>
    <t>https://nigeriapropertycentre.com/market-trends/average-prices/for-sale/flats-apartments/lagos/gbagada?bedrooms=1</t>
  </si>
  <si>
    <t>https://nigeriapropertycentre.com/market-trends/average-prices/for-sale/flats-apartments/lagos/gbagada?bedrooms=2</t>
  </si>
  <si>
    <t>https://nigeriapropertycentre.com/market-trends/average-prices/for-sale/flats-apartments/lagos/gbagada?bedrooms=3</t>
  </si>
  <si>
    <t>https://nigeriapropertycentre.com/market-trends/average-prices/for-sale/houses/lagos/lekki?bedrooms=1</t>
  </si>
  <si>
    <t>https://nigeriapropertycentre.com/market-trends/average-prices/for-sale/houses/lagos/lekki?bedrooms=2</t>
  </si>
  <si>
    <t>https://nigeriapropertycentre.com/market-trends/average-prices/for-sale/houses/lagos/lekki?bedrooms=3</t>
  </si>
  <si>
    <t>https://nigeriapropertycentre.com/market-trends/average-prices/for-sale/flats-apartments/lagos/ajah?bedrooms=1</t>
  </si>
  <si>
    <t>https://nigeriapropertycentre.com/market-trends/average-prices/for-sale/flats-apartments/lagos/ajah?bedrooms=2</t>
  </si>
  <si>
    <t>https://nigeriapropertycentre.com/market-trends/average-prices/for-sale/flats-apartments/lagos/ajah?bedrooms=3</t>
  </si>
  <si>
    <t>https://nigeriapropertycentre.com/market-trends/average-prices/for-sale/flats-apartments/lagos/maryland?bedrooms=1</t>
  </si>
  <si>
    <t>https://nigeriapropertycentre.com/market-trends/average-prices/for-sale/flats-apartments/lagos/maryland?bedrooms=2</t>
  </si>
  <si>
    <t>https://nigeriapropertycentre.com/market-trends/average-prices/for-sale/flats-apartments/lagos/maryland?bedrooms=3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</si>
  <si>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</si>
  <si>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</si>
  <si>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</si>
  <si>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</si>
  <si>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</si>
  <si>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</si>
  <si>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</si>
  <si>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</si>
  <si>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</si>
  <si>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</si>
  <si>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</si>
  <si>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</si>
  <si>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</si>
  <si>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</si>
  <si>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</si>
  <si>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</si>
  <si>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</si>
  <si>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</si>
  <si>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</si>
  <si>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</si>
  <si>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</si>
  <si>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</si>
  <si>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</si>
  <si>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</si>
  <si>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</si>
  <si>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</si>
  <si>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</si>
  <si>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</si>
  <si>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</si>
  <si>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</si>
  <si>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</si>
  <si>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</si>
  <si>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</si>
  <si>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</si>
  <si>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</si>
  <si>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Lagos</t>
  </si>
  <si>
    <t>TheCable</t>
  </si>
  <si>
    <t>BusinessDay/PAC</t>
  </si>
  <si>
    <t>BusinessDay</t>
  </si>
  <si>
    <t>BusinessDay/Pison</t>
  </si>
  <si>
    <t>BusinessDay/RIRFHUD</t>
  </si>
  <si>
    <t>The Guardian</t>
  </si>
  <si>
    <t>Demand</t>
  </si>
  <si>
    <t>Housing deficit</t>
  </si>
  <si>
    <t>Renter Share</t>
  </si>
  <si>
    <t>Units</t>
  </si>
  <si>
    <t>https://www.thecable.ng/between-rent-and-reptiles-lagos-housing-tragedy/</t>
  </si>
  <si>
    <t>%</t>
  </si>
  <si>
    <t>Rent burden (lower)</t>
  </si>
  <si>
    <t>Rent burden (Upper)</t>
  </si>
  <si>
    <t>% of income</t>
  </si>
  <si>
    <t>People/Year</t>
  </si>
  <si>
    <t>New residents annually</t>
  </si>
  <si>
    <t>Housing stock</t>
  </si>
  <si>
    <t>Housing demand</t>
  </si>
  <si>
    <t>Housing gap</t>
  </si>
  <si>
    <t>https://businessday.ng/real-estate/article/reports-position-nigerias-lagos-housing-deficits-as-investment-opportunities/</t>
  </si>
  <si>
    <t>Metro population</t>
  </si>
  <si>
    <t>Population growth rate</t>
  </si>
  <si>
    <t>Renter share (Pison)</t>
  </si>
  <si>
    <t>Rent burden (Pison)</t>
  </si>
  <si>
    <t>People</t>
  </si>
  <si>
    <t>%/year</t>
  </si>
  <si>
    <t>https://businessday.ng/real-estate/article/beyond-population-reasons-lagos-is-nigerias-epicentre-of-rental-demand/</t>
  </si>
  <si>
    <t>Daily arrivals</t>
  </si>
  <si>
    <t>Property price growth</t>
  </si>
  <si>
    <t>Short-let yield (lower)</t>
  </si>
  <si>
    <t>Short-let yield (Upper)</t>
  </si>
  <si>
    <t>Landing titling premium</t>
  </si>
  <si>
    <t>Population estimate</t>
  </si>
  <si>
    <t>Daily departures</t>
  </si>
  <si>
    <t>Housing shortage</t>
  </si>
  <si>
    <t>People/day</t>
  </si>
  <si>
    <t>%YOY</t>
  </si>
  <si>
    <t>https://businessday.ng/real-estate/article/no-respite-for-buyers-renters-as-lagos-housing-deficit-rises-15/</t>
  </si>
  <si>
    <t>https://www.theguardian.com/global-development/2026/apr/15/lagos-rent-crisis-wages-housing-growth</t>
  </si>
  <si>
    <t>SP001</t>
  </si>
  <si>
    <t>SP002</t>
  </si>
  <si>
    <t>SP003</t>
  </si>
  <si>
    <t>SP004</t>
  </si>
  <si>
    <t>SP005</t>
  </si>
  <si>
    <t>SP006</t>
  </si>
  <si>
    <t>SP007</t>
  </si>
  <si>
    <t>Supply</t>
  </si>
  <si>
    <t>https://punchng.com/lagos-housing-supply-lags-despite-34800-units-pipeline/</t>
  </si>
  <si>
    <t>Punch/Estate Intel</t>
  </si>
  <si>
    <t>Development pipeline</t>
  </si>
  <si>
    <t>https://businessday.ng/companies/article/lagos-housing-gap-widens-as-costly-finance-weak-income-squeeze-developers/</t>
  </si>
  <si>
    <t>Units/year</t>
  </si>
  <si>
    <t>annual housing requirement</t>
  </si>
  <si>
    <t>Demand below N15M</t>
  </si>
  <si>
    <t>Supply below N15M</t>
  </si>
  <si>
    <t>Cement price</t>
  </si>
  <si>
    <t>% of supply</t>
  </si>
  <si>
    <t>% of demand</t>
  </si>
  <si>
    <t>NGN/50KG</t>
  </si>
  <si>
    <t>GTI</t>
  </si>
  <si>
    <t>Housing TV</t>
  </si>
  <si>
    <t>https://businessday.ng/companies/article/lower-income-households-priced-out-of-lagos-housing-market-research/</t>
  </si>
  <si>
    <t>https://www.housingtvafrica.com/building-materials-prices-remain-high-despite-inflation-drop/</t>
  </si>
  <si>
    <t>Value</t>
  </si>
  <si>
    <t>Source</t>
  </si>
  <si>
    <t>M001</t>
  </si>
  <si>
    <t>Inflation rate</t>
  </si>
  <si>
    <t>Nigeria</t>
  </si>
  <si>
    <t>Macrotrends/World Bank</t>
  </si>
  <si>
    <t>https://www.macrotrends.net/datasets/global-metrics/countries/nga/nigeria/inflation-rate-cpi</t>
  </si>
  <si>
    <t>M002</t>
  </si>
  <si>
    <t>M003</t>
  </si>
  <si>
    <t>M004</t>
  </si>
  <si>
    <t>M005</t>
  </si>
  <si>
    <t xml:space="preserve">Inflation rate	</t>
  </si>
  <si>
    <t>Source Url</t>
  </si>
  <si>
    <t>M006</t>
  </si>
  <si>
    <t>M007</t>
  </si>
  <si>
    <t>M008</t>
  </si>
  <si>
    <t>M009</t>
  </si>
  <si>
    <t>M010</t>
  </si>
  <si>
    <t>M011</t>
  </si>
  <si>
    <t>Real GDP growth</t>
  </si>
  <si>
    <t>HistorySaid/World Bank</t>
  </si>
  <si>
    <t>https://historysaid.com/nigeria/gdp-growth/average/</t>
  </si>
  <si>
    <t>Macro</t>
  </si>
  <si>
    <t>M012</t>
  </si>
  <si>
    <t>M013</t>
  </si>
  <si>
    <t>M014</t>
  </si>
  <si>
    <t>M015</t>
  </si>
  <si>
    <t>Exchane rate (year-end)</t>
  </si>
  <si>
    <t>NGN/USD</t>
  </si>
  <si>
    <t>Nairametrics/CBN</t>
  </si>
  <si>
    <t>https://nairametrics.com/2026/01/01/naira-ends-2025-at-n1429-first-annual-gain-in-13-years/</t>
  </si>
  <si>
    <t>MPR (year-end)</t>
  </si>
  <si>
    <t xml:space="preserve">	THISDAY/CBN</t>
  </si>
  <si>
    <t>https://www.thisdaylive.com/2026/02/23/mirroring-monetary-policy-maximum-lending-rate-droped-to-29-32-in-december/</t>
  </si>
  <si>
    <t>Policy</t>
  </si>
  <si>
    <t>Agency fee (letting)</t>
  </si>
  <si>
    <t>Agency fee (sale)</t>
  </si>
  <si>
    <t>Legal fee (tenancy)</t>
  </si>
  <si>
    <t>Advance rent limit (monthly)</t>
  </si>
  <si>
    <t>Advance rent limit (yearly)</t>
  </si>
  <si>
    <t>Agency commission cap</t>
  </si>
  <si>
    <t>VAT on residential sales</t>
  </si>
  <si>
    <t>VAT on commercial property</t>
  </si>
  <si>
    <t>Consent fee</t>
  </si>
  <si>
    <t>Registration fee</t>
  </si>
  <si>
    <t>Captal gains tax (individual)</t>
  </si>
  <si>
    <t>Captal gains tax (company)</t>
  </si>
  <si>
    <t>NHF mortgage disbursment</t>
  </si>
  <si>
    <t>Annual mortgage target</t>
  </si>
  <si>
    <t>Housing deficit (national)</t>
  </si>
  <si>
    <t>Illegal eviction penalty</t>
  </si>
  <si>
    <t>Legal fee (stenancy)</t>
  </si>
  <si>
    <t>Case hearing timeline</t>
  </si>
  <si>
    <t>Current</t>
  </si>
  <si>
    <t>0-25</t>
  </si>
  <si>
    <t>% of rent</t>
  </si>
  <si>
    <t>% of proceeds</t>
  </si>
  <si>
    <t>% of consideration</t>
  </si>
  <si>
    <t>Months</t>
  </si>
  <si>
    <t>Year</t>
  </si>
  <si>
    <t>% of contributions</t>
  </si>
  <si>
    <t>Mortgages</t>
  </si>
  <si>
    <t>Days</t>
  </si>
  <si>
    <t>LASRERA</t>
  </si>
  <si>
    <t>Tenancy Bill 2025</t>
  </si>
  <si>
    <t>NTA 2025</t>
  </si>
  <si>
    <t>FG</t>
  </si>
  <si>
    <t>Tenancy Bill</t>
  </si>
  <si>
    <t>https://lasrera.lagosstate.gov.ng/resources/L28_LagosStateEstateAgencyRegulatoryAut_p04.pdf</t>
  </si>
  <si>
    <t>https://www.templars-law.com/app/uploads/2025/12/The-Lagos-State-Tenancy-Bill-2025.pdf</t>
  </si>
  <si>
    <t>https://www.dlapiperrealworld.com/law/index.html?c=NG&amp;s=taxation-of-real-estate-sales-and-purchases&amp;t=sale-and-purchase</t>
  </si>
  <si>
    <t>https://businessday.ng/news/article/businessday-confab-fg-rolls-out-housing-reforms-orders-40-nhf-mortgage-disbursement/</t>
  </si>
  <si>
    <t>https://punchng.com/lagos-tenancy-bill-mandates-court-orders-for-tenant-evictions/</t>
  </si>
  <si>
    <t>CO001</t>
  </si>
  <si>
    <t>CO002</t>
  </si>
  <si>
    <t>CO003</t>
  </si>
  <si>
    <t>CO004</t>
  </si>
  <si>
    <t>CO005</t>
  </si>
  <si>
    <t>CO006</t>
  </si>
  <si>
    <t>CO007</t>
  </si>
  <si>
    <t>CO008</t>
  </si>
  <si>
    <t>CO009</t>
  </si>
  <si>
    <t>CO010</t>
  </si>
  <si>
    <t>CO011</t>
  </si>
  <si>
    <t>CO012</t>
  </si>
  <si>
    <t>CO013</t>
  </si>
  <si>
    <t>CO014</t>
  </si>
  <si>
    <t>CO015</t>
  </si>
  <si>
    <t>CO016</t>
  </si>
  <si>
    <t>CO017</t>
  </si>
  <si>
    <t>Competitive</t>
  </si>
  <si>
    <t>Locations covered</t>
  </si>
  <si>
    <t>Project Location</t>
  </si>
  <si>
    <t>Target segment</t>
  </si>
  <si>
    <t>Former name</t>
  </si>
  <si>
    <t>Sructure</t>
  </si>
  <si>
    <t>Focus areas</t>
  </si>
  <si>
    <t>Business model</t>
  </si>
  <si>
    <t>Project</t>
  </si>
  <si>
    <t>Units planned</t>
  </si>
  <si>
    <t>Demand drivers</t>
  </si>
  <si>
    <t>Sangotedo (Ajah)</t>
  </si>
  <si>
    <t>Ibeju-Lekki</t>
  </si>
  <si>
    <t>Idera, Lagos</t>
  </si>
  <si>
    <t>All</t>
  </si>
  <si>
    <t>Before 2026</t>
  </si>
  <si>
    <t>Middle-income</t>
  </si>
  <si>
    <t>South Point Estate</t>
  </si>
  <si>
    <t>Northcourt</t>
  </si>
  <si>
    <t xml:space="preserve">Panterra Real Estate Group </t>
  </si>
  <si>
    <t>Investment, asset management, research</t>
  </si>
  <si>
    <t>Rent-to-own</t>
  </si>
  <si>
    <t>Rent4Less, Rent-to-Own</t>
  </si>
  <si>
    <t>Mid-income tenants</t>
  </si>
  <si>
    <t>Alexandra Courts Estate</t>
  </si>
  <si>
    <t>Capital Gardens Estate</t>
  </si>
  <si>
    <t>Middle-class</t>
  </si>
  <si>
    <t>Education, technology, Island access</t>
  </si>
  <si>
    <t>Locations</t>
  </si>
  <si>
    <t>Name</t>
  </si>
  <si>
    <t>Model</t>
  </si>
  <si>
    <t>Focus</t>
  </si>
  <si>
    <t>Company</t>
  </si>
  <si>
    <t>Drivers</t>
  </si>
  <si>
    <t>Citiliving</t>
  </si>
  <si>
    <t>Royal Colony</t>
  </si>
  <si>
    <t>Daily Trust</t>
  </si>
  <si>
    <t>Mixta Africa</t>
  </si>
  <si>
    <t>Alpha Mead</t>
  </si>
  <si>
    <t>Legrande</t>
  </si>
  <si>
    <t>Victoria Crest</t>
  </si>
  <si>
    <t>Estate Intel</t>
  </si>
  <si>
    <t>https://thecitiliving.com/about-us/</t>
  </si>
  <si>
    <t>https://thesun.ng/our-mission-is-to-turn-investments-into-legacies-says-oladigbolu/</t>
  </si>
  <si>
    <t>https://dailytrust.com/northcourt-rebrands-as-panterra-real-estate-group/</t>
  </si>
  <si>
    <t>https://businessday.ng/real-estate/article/5-developers-that-make-tenants-landlords-by-paying-tenured-rents/</t>
  </si>
  <si>
    <t>https://guardian.ng/property/firm-targets-middle-class-in-new-housing-development/</t>
  </si>
  <si>
    <t>https://estateintel.com/reports/residential-pipeline-activity-in-yaba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</si>
  <si>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</si>
  <si>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</si>
  <si>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</si>
  <si>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</si>
  <si>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</si>
  <si>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</si>
  <si>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</si>
  <si>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</si>
  <si>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</si>
  <si>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</si>
  <si>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</si>
  <si>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</si>
  <si>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</si>
  <si>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</si>
  <si>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</si>
  <si>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</si>
  <si>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</si>
  <si>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Land titling premium</t>
  </si>
  <si>
    <t>Exchange rate (year-end)</t>
  </si>
  <si>
    <t>Capital gains tax (individual)</t>
  </si>
  <si>
    <t>Capital gains tax (company)</t>
  </si>
  <si>
    <t>NHF mortgage disbursement</t>
  </si>
  <si>
    <t>Structure</t>
  </si>
  <si>
    <t>NGN/50Kg</t>
  </si>
  <si>
    <t>Rent burden (upper)</t>
  </si>
  <si>
    <t>Short-let yield (upper)</t>
  </si>
  <si>
    <t>% YoY</t>
  </si>
  <si>
    <t>Numeric?</t>
  </si>
  <si>
    <t>YoY Rent Growth</t>
  </si>
  <si>
    <t>YoY Price Growth</t>
  </si>
  <si>
    <t>Price-to-Rent Ratio (2026)</t>
  </si>
  <si>
    <t>1-bed</t>
  </si>
  <si>
    <t>2-bed</t>
  </si>
  <si>
    <t>3-bed</t>
  </si>
  <si>
    <t>2025 Rent (Average)</t>
  </si>
  <si>
    <t>2026 Rent (Average)</t>
  </si>
  <si>
    <t>2025 Sale Price (Average)</t>
  </si>
  <si>
    <t>2026 Sale Price (Average)</t>
  </si>
  <si>
    <t>Metric</t>
  </si>
  <si>
    <t>Average Gross Yield</t>
  </si>
  <si>
    <t>Average YoY Rent Growth</t>
  </si>
  <si>
    <t>Average YoY Price Growth</t>
  </si>
  <si>
    <t>Inflation 2025</t>
  </si>
  <si>
    <t>GDP Growth 2025</t>
  </si>
  <si>
    <t>MPR 2025</t>
  </si>
  <si>
    <t>1-bed Avg Rent</t>
  </si>
  <si>
    <t>2-bed Avg Rent</t>
  </si>
  <si>
    <t>3-bed Avg Rent</t>
  </si>
  <si>
    <t>Gross Rental Yield (2026, Before Expenses)</t>
  </si>
  <si>
    <t>Real Yield Approximation (Gross Yield - Inflation)</t>
  </si>
  <si>
    <t>This is an approximation only. It compares average gross yield to headline inflation and does not represent a full inflation-adjusted investment return</t>
  </si>
  <si>
    <t>Housing Deficit</t>
  </si>
  <si>
    <t>2025</t>
  </si>
  <si>
    <t>2026</t>
  </si>
  <si>
    <t>Rent Growth %</t>
  </si>
  <si>
    <t>Gross Yield</t>
  </si>
  <si>
    <t>Inflation</t>
  </si>
  <si>
    <t>Price-Rent-Ratio</t>
  </si>
  <si>
    <t>Location2</t>
  </si>
  <si>
    <t>Price-Rent-Ratio2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</si>
</sst>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₦&quot;* #,##0.00_-;\-&quot;₦&quot;* #,##0.00_-;_-&quot;₦&quot;* &quot;-&quot;??_-;_-@_-"/>
    <numFmt numFmtId="164" formatCode="0.0%"/>
    <numFmt numFmtId="165" formatCode="&quot;₦&quot;#,##0.00"/>
    <numFmt numFmtId="166" formatCode="&quot;₦&quot;#,##0"/>
    <numFmt numFmtId="167" formatCode="0.0&quot;M&quot;"/>
    <numFmt numFmtId="168" formatCode="0.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/>
    <xf numFmtId="17" fontId="0" fillId="0" borderId="0" xfId="0" applyNumberFormat="1"/>
    <xf numFmtId="3" fontId="0" fillId="0" borderId="0" xfId="0" applyNumberFormat="1"/>
    <xf numFmtId="0" fontId="4" fillId="2" borderId="1" xfId="0" applyFont="1" applyFill="1" applyBorder="1"/>
    <xf numFmtId="0" fontId="4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9" fontId="0" fillId="0" borderId="0" xfId="3" applyFont="1"/>
    <xf numFmtId="164" fontId="0" fillId="0" borderId="0" xfId="3" applyNumberFormat="1" applyFont="1"/>
    <xf numFmtId="10" fontId="0" fillId="0" borderId="0" xfId="3" applyNumberFormat="1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0" fillId="0" borderId="0" xfId="2" applyFont="1"/>
    <xf numFmtId="166" fontId="0" fillId="0" borderId="0" xfId="0" applyNumberFormat="1"/>
    <xf numFmtId="1" fontId="0" fillId="0" borderId="0" xfId="2" applyNumberFormat="1" applyFont="1"/>
    <xf numFmtId="0" fontId="0" fillId="4" borderId="0" xfId="0" applyFill="1"/>
    <xf numFmtId="167" fontId="0" fillId="0" borderId="0" xfId="0" applyNumberFormat="1"/>
    <xf numFmtId="2" fontId="0" fillId="0" borderId="1" xfId="0" applyNumberFormat="1" applyBorder="1"/>
    <xf numFmtId="0" fontId="4" fillId="2" borderId="4" xfId="0" applyFont="1" applyFill="1" applyBorder="1"/>
    <xf numFmtId="0" fontId="0" fillId="3" borderId="5" xfId="0" applyFill="1" applyBorder="1"/>
    <xf numFmtId="0" fontId="0" fillId="0" borderId="5" xfId="0" applyBorder="1"/>
    <xf numFmtId="164" fontId="0" fillId="3" borderId="3" xfId="0" applyNumberFormat="1" applyFill="1" applyBorder="1"/>
    <xf numFmtId="164" fontId="0" fillId="0" borderId="3" xfId="0" applyNumberFormat="1" applyBorder="1"/>
    <xf numFmtId="164" fontId="0" fillId="0" borderId="3" xfId="3" applyNumberFormat="1" applyFont="1" applyBorder="1"/>
    <xf numFmtId="0" fontId="4" fillId="2" borderId="2" xfId="0" applyFont="1" applyFill="1" applyBorder="1"/>
    <xf numFmtId="168" fontId="0" fillId="0" borderId="0" xfId="0" applyNumberFormat="1"/>
    <xf numFmtId="168" fontId="5" fillId="0" borderId="0" xfId="0" applyNumberFormat="1" applyFont="1"/>
    <xf numFmtId="168" fontId="6" fillId="0" borderId="0" xfId="0" applyNumberFormat="1" applyFont="1" applyAlignment="1">
      <alignment vertical="center" wrapText="1"/>
    </xf>
    <xf numFmtId="164" fontId="0" fillId="0" borderId="0" xfId="3" applyNumberFormat="1" applyFont="1" applyBorder="1"/>
    <xf numFmtId="164" fontId="5" fillId="0" borderId="0" xfId="0" applyNumberFormat="1" applyFont="1" applyAlignment="1">
      <alignment vertical="center" wrapText="1"/>
    </xf>
    <xf numFmtId="164" fontId="0" fillId="0" borderId="2" xfId="0" applyNumberFormat="1" applyBorder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30">
    <dxf>
      <numFmt numFmtId="168" formatCode="0.0"/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167" formatCode="0.0&quot;M&quot;"/>
    </dxf>
    <dxf>
      <numFmt numFmtId="167" formatCode="0.0&quot;M&quot;"/>
    </dxf>
    <dxf>
      <numFmt numFmtId="167" formatCode="0.0&quot;M&quot;"/>
    </dxf>
    <dxf>
      <numFmt numFmtId="166" formatCode="&quot;₦&quot;#,##0"/>
    </dxf>
    <dxf>
      <numFmt numFmtId="166" formatCode="&quot;₦&quot;#,##0"/>
    </dxf>
    <dxf>
      <numFmt numFmtId="166" formatCode="&quot;₦&quot;#,##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numFmt numFmtId="165" formatCode="&quot;₦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" formatCode="0"/>
    </dxf>
    <dxf>
      <numFmt numFmtId="1" formatCode="0"/>
    </dxf>
    <dxf>
      <font>
        <color rgb="FF2F7C57"/>
      </font>
      <fill>
        <patternFill patternType="solid">
          <bgColor rgb="FF0B3D2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 new Style 1" pivot="0" table="0" count="3" xr9:uid="{B0493D98-8E9A-48D2-815C-92E9903DD054}">
      <tableStyleElement type="wholeTable" dxfId="29"/>
    </tableStyle>
  </tableStyles>
  <colors>
    <mruColors>
      <color rgb="FF152238"/>
      <color rgb="FFF8F8F8"/>
      <color rgb="FF28454D"/>
      <color rgb="FF00008B"/>
      <color rgb="FFF8FAFC"/>
      <color rgb="FF0F172A"/>
      <color rgb="FF6F42C1"/>
      <color rgb="FFF0FFE3"/>
      <color rgb="FF153019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6"/>
            </patternFill>
          </fill>
        </dxf>
        <dxf>
          <font>
            <color theme="0"/>
          </font>
          <fill>
            <patternFill>
              <bgColor theme="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new Style 1">
          <x14:slicerStyleElements>
            <x14:slicerStyleElement type="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3523757622674"/>
          <c:y val="0.27984102170534375"/>
          <c:w val="0.86867423194495352"/>
          <c:h val="0.58973533469442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1-bed Avg Rent</c:v>
                </c:pt>
              </c:strCache>
            </c:strRef>
          </c:tx>
          <c:spPr>
            <a:solidFill>
              <a:srgbClr val="28454D"/>
            </a:solidFill>
            <a:ln>
              <a:noFill/>
            </a:ln>
            <a:effectLst/>
          </c:spPr>
          <c:invertIfNegative val="0"/>
          <c:cat>
            <c:strRef>
              <c:f>Analysis!$A$48:$A$54</c:f>
              <c:strCache>
                <c:ptCount val="7"/>
                <c:pt idx="0">
                  <c:v>Ajah</c:v>
                </c:pt>
                <c:pt idx="1">
                  <c:v>Gbagada</c:v>
                </c:pt>
                <c:pt idx="2">
                  <c:v>Ikeja</c:v>
                </c:pt>
                <c:pt idx="3">
                  <c:v>Lekki</c:v>
                </c:pt>
                <c:pt idx="4">
                  <c:v>Maryland</c:v>
                </c:pt>
                <c:pt idx="5">
                  <c:v>Surulere</c:v>
                </c:pt>
                <c:pt idx="6">
                  <c:v>Yaba</c:v>
                </c:pt>
              </c:strCache>
            </c:strRef>
          </c:cat>
          <c:val>
            <c:numRef>
              <c:f>Analysis!$B$48:$B$54</c:f>
              <c:numCache>
                <c:formatCode>0.0"M"</c:formatCode>
                <c:ptCount val="7"/>
                <c:pt idx="0">
                  <c:v>1.9</c:v>
                </c:pt>
                <c:pt idx="1">
                  <c:v>2.5</c:v>
                </c:pt>
                <c:pt idx="2">
                  <c:v>2.2999999999999998</c:v>
                </c:pt>
                <c:pt idx="3">
                  <c:v>4.5</c:v>
                </c:pt>
                <c:pt idx="4">
                  <c:v>3.5</c:v>
                </c:pt>
                <c:pt idx="5">
                  <c:v>2.5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4-4BEF-B185-E60EA09F7F43}"/>
            </c:ext>
          </c:extLst>
        </c:ser>
        <c:ser>
          <c:idx val="1"/>
          <c:order val="1"/>
          <c:tx>
            <c:strRef>
              <c:f>Analysis!$C$47</c:f>
              <c:strCache>
                <c:ptCount val="1"/>
                <c:pt idx="0">
                  <c:v>2-bed Avg Rent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Analysis!$A$48:$A$54</c:f>
              <c:strCache>
                <c:ptCount val="7"/>
                <c:pt idx="0">
                  <c:v>Ajah</c:v>
                </c:pt>
                <c:pt idx="1">
                  <c:v>Gbagada</c:v>
                </c:pt>
                <c:pt idx="2">
                  <c:v>Ikeja</c:v>
                </c:pt>
                <c:pt idx="3">
                  <c:v>Lekki</c:v>
                </c:pt>
                <c:pt idx="4">
                  <c:v>Maryland</c:v>
                </c:pt>
                <c:pt idx="5">
                  <c:v>Surulere</c:v>
                </c:pt>
                <c:pt idx="6">
                  <c:v>Yaba</c:v>
                </c:pt>
              </c:strCache>
            </c:strRef>
          </c:cat>
          <c:val>
            <c:numRef>
              <c:f>Analysis!$C$48:$C$54</c:f>
              <c:numCache>
                <c:formatCode>0.0"M"</c:formatCode>
                <c:ptCount val="7"/>
                <c:pt idx="0">
                  <c:v>3</c:v>
                </c:pt>
                <c:pt idx="1">
                  <c:v>4.3499999999999996</c:v>
                </c:pt>
                <c:pt idx="2">
                  <c:v>4</c:v>
                </c:pt>
                <c:pt idx="3">
                  <c:v>10</c:v>
                </c:pt>
                <c:pt idx="4">
                  <c:v>6</c:v>
                </c:pt>
                <c:pt idx="5">
                  <c:v>4.25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4-4BEF-B185-E60EA09F7F43}"/>
            </c:ext>
          </c:extLst>
        </c:ser>
        <c:ser>
          <c:idx val="2"/>
          <c:order val="2"/>
          <c:tx>
            <c:strRef>
              <c:f>Analysis!$D$47</c:f>
              <c:strCache>
                <c:ptCount val="1"/>
                <c:pt idx="0">
                  <c:v>3-bed Avg Rent</c:v>
                </c:pt>
              </c:strCache>
            </c:strRef>
          </c:tx>
          <c:spPr>
            <a:solidFill>
              <a:srgbClr val="152238"/>
            </a:solidFill>
            <a:ln>
              <a:noFill/>
            </a:ln>
            <a:effectLst/>
          </c:spPr>
          <c:invertIfNegative val="0"/>
          <c:cat>
            <c:strRef>
              <c:f>Analysis!$A$48:$A$54</c:f>
              <c:strCache>
                <c:ptCount val="7"/>
                <c:pt idx="0">
                  <c:v>Ajah</c:v>
                </c:pt>
                <c:pt idx="1">
                  <c:v>Gbagada</c:v>
                </c:pt>
                <c:pt idx="2">
                  <c:v>Ikeja</c:v>
                </c:pt>
                <c:pt idx="3">
                  <c:v>Lekki</c:v>
                </c:pt>
                <c:pt idx="4">
                  <c:v>Maryland</c:v>
                </c:pt>
                <c:pt idx="5">
                  <c:v>Surulere</c:v>
                </c:pt>
                <c:pt idx="6">
                  <c:v>Yaba</c:v>
                </c:pt>
              </c:strCache>
            </c:strRef>
          </c:cat>
          <c:val>
            <c:numRef>
              <c:f>Analysis!$D$48:$D$54</c:f>
              <c:numCache>
                <c:formatCode>0.0"M"</c:formatCode>
                <c:ptCount val="7"/>
                <c:pt idx="0">
                  <c:v>4</c:v>
                </c:pt>
                <c:pt idx="1">
                  <c:v>7</c:v>
                </c:pt>
                <c:pt idx="2">
                  <c:v>8.5</c:v>
                </c:pt>
                <c:pt idx="3">
                  <c:v>15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4-4BEF-B185-E60EA09F7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57552"/>
        <c:axId val="366442864"/>
      </c:barChart>
      <c:catAx>
        <c:axId val="153105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42864"/>
        <c:crosses val="autoZero"/>
        <c:auto val="1"/>
        <c:lblAlgn val="ctr"/>
        <c:lblOffset val="100"/>
        <c:noMultiLvlLbl val="0"/>
      </c:catAx>
      <c:valAx>
        <c:axId val="366442864"/>
        <c:scaling>
          <c:orientation val="minMax"/>
        </c:scaling>
        <c:delete val="0"/>
        <c:axPos val="l"/>
        <c:numFmt formatCode="0.0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5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418953043580316"/>
          <c:y val="0.13624778237395246"/>
          <c:w val="0.62041699300128694"/>
          <c:h val="0.12101039051674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94606153666171E-2"/>
          <c:y val="0.22380609159606343"/>
          <c:w val="0.83224109315988459"/>
          <c:h val="0.671886091958712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Analysis!$B$57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Analysis!$A$58:$A$64</c:f>
              <c:strCache>
                <c:ptCount val="7"/>
                <c:pt idx="0">
                  <c:v>Ajah</c:v>
                </c:pt>
                <c:pt idx="1">
                  <c:v>Gbagada</c:v>
                </c:pt>
                <c:pt idx="2">
                  <c:v>Ikeja</c:v>
                </c:pt>
                <c:pt idx="3">
                  <c:v>Lekki</c:v>
                </c:pt>
                <c:pt idx="4">
                  <c:v>Maryland</c:v>
                </c:pt>
                <c:pt idx="5">
                  <c:v>Surulere</c:v>
                </c:pt>
                <c:pt idx="6">
                  <c:v>Yaba</c:v>
                </c:pt>
              </c:strCache>
            </c:strRef>
          </c:cat>
          <c:val>
            <c:numRef>
              <c:f>Analysis!$B$58:$B$64</c:f>
              <c:numCache>
                <c:formatCode>0.00</c:formatCode>
                <c:ptCount val="7"/>
                <c:pt idx="0">
                  <c:v>2.5</c:v>
                </c:pt>
                <c:pt idx="1">
                  <c:v>3.3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3.2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D-45D7-9260-25BA8868845F}"/>
            </c:ext>
          </c:extLst>
        </c:ser>
        <c:ser>
          <c:idx val="1"/>
          <c:order val="1"/>
          <c:tx>
            <c:strRef>
              <c:f>Analysis!$C$57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152238"/>
            </a:solidFill>
            <a:ln>
              <a:noFill/>
            </a:ln>
            <a:effectLst/>
          </c:spPr>
          <c:invertIfNegative val="0"/>
          <c:cat>
            <c:strRef>
              <c:f>Analysis!$A$58:$A$64</c:f>
              <c:strCache>
                <c:ptCount val="7"/>
                <c:pt idx="0">
                  <c:v>Ajah</c:v>
                </c:pt>
                <c:pt idx="1">
                  <c:v>Gbagada</c:v>
                </c:pt>
                <c:pt idx="2">
                  <c:v>Ikeja</c:v>
                </c:pt>
                <c:pt idx="3">
                  <c:v>Lekki</c:v>
                </c:pt>
                <c:pt idx="4">
                  <c:v>Maryland</c:v>
                </c:pt>
                <c:pt idx="5">
                  <c:v>Surulere</c:v>
                </c:pt>
                <c:pt idx="6">
                  <c:v>Yaba</c:v>
                </c:pt>
              </c:strCache>
            </c:strRef>
          </c:cat>
          <c:val>
            <c:numRef>
              <c:f>Analysis!$C$58:$C$64</c:f>
              <c:numCache>
                <c:formatCode>0.00</c:formatCode>
                <c:ptCount val="7"/>
                <c:pt idx="0">
                  <c:v>3</c:v>
                </c:pt>
                <c:pt idx="1">
                  <c:v>4.3499999999999996</c:v>
                </c:pt>
                <c:pt idx="2">
                  <c:v>4</c:v>
                </c:pt>
                <c:pt idx="3">
                  <c:v>10</c:v>
                </c:pt>
                <c:pt idx="4">
                  <c:v>6</c:v>
                </c:pt>
                <c:pt idx="5">
                  <c:v>4.25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D-45D7-9260-25BA88688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985168"/>
        <c:axId val="366408784"/>
      </c:barChart>
      <c:lineChart>
        <c:grouping val="standard"/>
        <c:varyColors val="0"/>
        <c:ser>
          <c:idx val="2"/>
          <c:order val="2"/>
          <c:tx>
            <c:strRef>
              <c:f>Analysis!$D$57</c:f>
              <c:strCache>
                <c:ptCount val="1"/>
                <c:pt idx="0">
                  <c:v>Rent Growth %</c:v>
                </c:pt>
              </c:strCache>
            </c:strRef>
          </c:tx>
          <c:spPr>
            <a:ln w="28575" cap="rnd">
              <a:solidFill>
                <a:srgbClr val="28454D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Analysis!$A$58:$A$64</c:f>
              <c:strCache>
                <c:ptCount val="7"/>
                <c:pt idx="0">
                  <c:v>Ajah</c:v>
                </c:pt>
                <c:pt idx="1">
                  <c:v>Gbagada</c:v>
                </c:pt>
                <c:pt idx="2">
                  <c:v>Ikeja</c:v>
                </c:pt>
                <c:pt idx="3">
                  <c:v>Lekki</c:v>
                </c:pt>
                <c:pt idx="4">
                  <c:v>Maryland</c:v>
                </c:pt>
                <c:pt idx="5">
                  <c:v>Surulere</c:v>
                </c:pt>
                <c:pt idx="6">
                  <c:v>Yaba</c:v>
                </c:pt>
              </c:strCache>
            </c:strRef>
          </c:cat>
          <c:val>
            <c:numRef>
              <c:f>Analysis!$D$58:$D$64</c:f>
              <c:numCache>
                <c:formatCode>0%</c:formatCode>
                <c:ptCount val="7"/>
                <c:pt idx="0">
                  <c:v>0.2</c:v>
                </c:pt>
                <c:pt idx="1">
                  <c:v>0.31818181818181818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0.328125</c:v>
                </c:pt>
                <c:pt idx="6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2D-45D7-9260-25BA88688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974032"/>
        <c:axId val="366411664"/>
      </c:lineChart>
      <c:catAx>
        <c:axId val="15309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08784"/>
        <c:crosses val="autoZero"/>
        <c:auto val="1"/>
        <c:lblAlgn val="ctr"/>
        <c:lblOffset val="100"/>
        <c:noMultiLvlLbl val="0"/>
      </c:catAx>
      <c:valAx>
        <c:axId val="36640878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85168"/>
        <c:crosses val="autoZero"/>
        <c:crossBetween val="between"/>
      </c:valAx>
      <c:valAx>
        <c:axId val="36641166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74032"/>
        <c:crosses val="max"/>
        <c:crossBetween val="between"/>
      </c:valAx>
      <c:catAx>
        <c:axId val="1530974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6411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49775875022918"/>
          <c:y val="0.20815578961954809"/>
          <c:w val="0.54339481883505025"/>
          <c:h val="0.122226347495949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Analysis!$B$67</c:f>
              <c:strCache>
                <c:ptCount val="1"/>
                <c:pt idx="0">
                  <c:v>Gross Yield</c:v>
                </c:pt>
              </c:strCache>
            </c:strRef>
          </c:tx>
          <c:spPr>
            <a:solidFill>
              <a:srgbClr val="152238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4-41E8-9789-6971ACA74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Analysis!$A$68:$A$74</c:f>
              <c:strCache>
                <c:ptCount val="7"/>
                <c:pt idx="0">
                  <c:v>Ikeja</c:v>
                </c:pt>
                <c:pt idx="1">
                  <c:v>Maryland</c:v>
                </c:pt>
                <c:pt idx="2">
                  <c:v>Yaba</c:v>
                </c:pt>
                <c:pt idx="3">
                  <c:v>Ajah</c:v>
                </c:pt>
                <c:pt idx="4">
                  <c:v>Surulere</c:v>
                </c:pt>
                <c:pt idx="5">
                  <c:v>Lekki</c:v>
                </c:pt>
                <c:pt idx="6">
                  <c:v>Gbagada</c:v>
                </c:pt>
              </c:strCache>
            </c:strRef>
          </c:cat>
          <c:val>
            <c:numRef>
              <c:f>Analysis!$B$68:$B$74</c:f>
              <c:numCache>
                <c:formatCode>0.0%</c:formatCode>
                <c:ptCount val="7"/>
                <c:pt idx="0">
                  <c:v>2.4242424242424242E-2</c:v>
                </c:pt>
                <c:pt idx="1">
                  <c:v>3.1578947368421054E-2</c:v>
                </c:pt>
                <c:pt idx="2">
                  <c:v>3.214285714285714E-2</c:v>
                </c:pt>
                <c:pt idx="3">
                  <c:v>3.5294117647058823E-2</c:v>
                </c:pt>
                <c:pt idx="4">
                  <c:v>3.8636363636363635E-2</c:v>
                </c:pt>
                <c:pt idx="5">
                  <c:v>0.05</c:v>
                </c:pt>
                <c:pt idx="6">
                  <c:v>5.1176470588235295E-2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4-41E8-9789-6971ACA744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85"/>
        <c:axId val="1498390799"/>
        <c:axId val="1129404079"/>
      </c:barChart>
      <c:catAx>
        <c:axId val="149839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04079"/>
        <c:crosses val="autoZero"/>
        <c:auto val="1"/>
        <c:lblAlgn val="ctr"/>
        <c:lblOffset val="100"/>
        <c:noMultiLvlLbl val="0"/>
      </c:catAx>
      <c:valAx>
        <c:axId val="1129404079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4983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00000000-EB3C-4E62-A127-6A77F15CA31C}">
          <cx:tx>
            <cx:txData>
              <cx:f>_xlchart.v1.1</cx:f>
              <cx:v>Price-Rent-Ratio2</cx:v>
            </cx:txData>
          </cx:tx>
          <cx:spPr>
            <a:solidFill>
              <a:srgbClr val="152238"/>
            </a:solidFill>
          </cx:spPr>
          <cx:dataPt idx="0">
            <cx:spPr>
              <a:solidFill>
                <a:sysClr val="window" lastClr="FFFFFF">
                  <a:lumMod val="65000"/>
                </a:sysClr>
              </a:solidFill>
            </cx:spPr>
          </cx:dataPt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>
            <a:noFill/>
          </a:ln>
        </cx:sp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12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11" Type="http://schemas.openxmlformats.org/officeDocument/2006/relationships/image" Target="../media/image6.png"/><Relationship Id="rId5" Type="http://schemas.openxmlformats.org/officeDocument/2006/relationships/chart" Target="../charts/chart3.xml"/><Relationship Id="rId10" Type="http://schemas.microsoft.com/office/2007/relationships/hdphoto" Target="../media/hdphoto1.wdp"/><Relationship Id="rId4" Type="http://schemas.openxmlformats.org/officeDocument/2006/relationships/chart" Target="../charts/chart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47227</xdr:rowOff>
    </xdr:from>
    <xdr:to>
      <xdr:col>20</xdr:col>
      <xdr:colOff>187600</xdr:colOff>
      <xdr:row>41</xdr:row>
      <xdr:rowOff>114739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CFA562-85E7-4B01-8587-8F7F306EF35E}"/>
            </a:ext>
          </a:extLst>
        </xdr:cNvPr>
        <xdr:cNvSpPr/>
      </xdr:nvSpPr>
      <xdr:spPr>
        <a:xfrm>
          <a:off x="644663" y="229444"/>
          <a:ext cx="11801198" cy="7356208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162573</xdr:colOff>
      <xdr:row>11</xdr:row>
      <xdr:rowOff>55781</xdr:rowOff>
    </xdr:from>
    <xdr:to>
      <xdr:col>11</xdr:col>
      <xdr:colOff>309396</xdr:colOff>
      <xdr:row>22</xdr:row>
      <xdr:rowOff>100603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39367E1-685D-479D-A52F-F828CB57F557}"/>
            </a:ext>
          </a:extLst>
        </xdr:cNvPr>
        <xdr:cNvSpPr/>
      </xdr:nvSpPr>
      <xdr:spPr>
        <a:xfrm>
          <a:off x="1986236" y="2033556"/>
          <a:ext cx="5009924" cy="2022598"/>
        </a:xfrm>
        <a:prstGeom prst="roundRect">
          <a:avLst>
            <a:gd name="adj" fmla="val 353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162573</xdr:colOff>
      <xdr:row>35</xdr:row>
      <xdr:rowOff>71717</xdr:rowOff>
    </xdr:from>
    <xdr:to>
      <xdr:col>19</xdr:col>
      <xdr:colOff>128427</xdr:colOff>
      <xdr:row>37</xdr:row>
      <xdr:rowOff>115455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8FA30F8-3269-44F6-AA40-C4EBFC432B38}"/>
            </a:ext>
          </a:extLst>
        </xdr:cNvPr>
        <xdr:cNvSpPr/>
      </xdr:nvSpPr>
      <xdr:spPr>
        <a:xfrm>
          <a:off x="1986755" y="6537172"/>
          <a:ext cx="9694824" cy="413192"/>
        </a:xfrm>
        <a:prstGeom prst="roundRect">
          <a:avLst>
            <a:gd name="adj" fmla="val 5316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</xdr:row>
      <xdr:rowOff>53340</xdr:rowOff>
    </xdr:from>
    <xdr:to>
      <xdr:col>2</xdr:col>
      <xdr:colOff>0</xdr:colOff>
      <xdr:row>4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F469FF7-6A3A-4416-A6C2-9056A3F7C377}"/>
            </a:ext>
          </a:extLst>
        </xdr:cNvPr>
        <xdr:cNvSpPr txBox="1"/>
      </xdr:nvSpPr>
      <xdr:spPr>
        <a:xfrm>
          <a:off x="1219200" y="601980"/>
          <a:ext cx="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Revenue Monthly Trend</a:t>
          </a:r>
        </a:p>
      </xdr:txBody>
    </xdr:sp>
    <xdr:clientData/>
  </xdr:twoCellAnchor>
  <xdr:twoCellAnchor>
    <xdr:from>
      <xdr:col>1</xdr:col>
      <xdr:colOff>448476</xdr:colOff>
      <xdr:row>1</xdr:row>
      <xdr:rowOff>29880</xdr:rowOff>
    </xdr:from>
    <xdr:to>
      <xdr:col>19</xdr:col>
      <xdr:colOff>363244</xdr:colOff>
      <xdr:row>4</xdr:row>
      <xdr:rowOff>108075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8407D26-A9E8-4239-AD48-CA7CFDF5E347}"/>
            </a:ext>
          </a:extLst>
        </xdr:cNvPr>
        <xdr:cNvSpPr/>
      </xdr:nvSpPr>
      <xdr:spPr>
        <a:xfrm>
          <a:off x="1058076" y="216147"/>
          <a:ext cx="10887568" cy="636995"/>
        </a:xfrm>
        <a:prstGeom prst="rect">
          <a:avLst/>
        </a:prstGeom>
        <a:solidFill>
          <a:srgbClr val="15223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243938</xdr:colOff>
      <xdr:row>1</xdr:row>
      <xdr:rowOff>36921</xdr:rowOff>
    </xdr:from>
    <xdr:to>
      <xdr:col>19</xdr:col>
      <xdr:colOff>580405</xdr:colOff>
      <xdr:row>39</xdr:row>
      <xdr:rowOff>128340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4DFF970-CED1-46CB-ABF8-174C070C73BF}"/>
            </a:ext>
          </a:extLst>
        </xdr:cNvPr>
        <xdr:cNvSpPr/>
      </xdr:nvSpPr>
      <xdr:spPr>
        <a:xfrm rot="5400000">
          <a:off x="8443662" y="3604081"/>
          <a:ext cx="7101819" cy="336467"/>
        </a:xfrm>
        <a:prstGeom prst="rect">
          <a:avLst/>
        </a:prstGeom>
        <a:solidFill>
          <a:srgbClr val="15223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285750</xdr:colOff>
      <xdr:row>38</xdr:row>
      <xdr:rowOff>39886</xdr:rowOff>
    </xdr:from>
    <xdr:to>
      <xdr:col>19</xdr:col>
      <xdr:colOff>581025</xdr:colOff>
      <xdr:row>40</xdr:row>
      <xdr:rowOff>20092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2951C53-6117-41DE-9587-6D9E15B6612D}"/>
            </a:ext>
          </a:extLst>
        </xdr:cNvPr>
        <xdr:cNvSpPr/>
      </xdr:nvSpPr>
      <xdr:spPr>
        <a:xfrm>
          <a:off x="893811" y="7059522"/>
          <a:ext cx="11240366" cy="349661"/>
        </a:xfrm>
        <a:prstGeom prst="rect">
          <a:avLst/>
        </a:prstGeom>
        <a:solidFill>
          <a:srgbClr val="15223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35857</xdr:colOff>
      <xdr:row>1</xdr:row>
      <xdr:rowOff>36000</xdr:rowOff>
    </xdr:from>
    <xdr:to>
      <xdr:col>3</xdr:col>
      <xdr:colOff>17926</xdr:colOff>
      <xdr:row>40</xdr:row>
      <xdr:rowOff>16565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ABBCEB0-280B-4616-A131-78576C81670A}"/>
            </a:ext>
          </a:extLst>
        </xdr:cNvPr>
        <xdr:cNvSpPr/>
      </xdr:nvSpPr>
      <xdr:spPr>
        <a:xfrm rot="5400000">
          <a:off x="-2310351" y="3174688"/>
          <a:ext cx="7112885" cy="1201269"/>
        </a:xfrm>
        <a:prstGeom prst="rect">
          <a:avLst/>
        </a:prstGeom>
        <a:solidFill>
          <a:srgbClr val="15223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162574</xdr:colOff>
      <xdr:row>5</xdr:row>
      <xdr:rowOff>42921</xdr:rowOff>
    </xdr:from>
    <xdr:to>
      <xdr:col>6</xdr:col>
      <xdr:colOff>197161</xdr:colOff>
      <xdr:row>10</xdr:row>
      <xdr:rowOff>78781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39D715C3-8019-4EFC-8A6E-D08C48C8D5CD}"/>
            </a:ext>
          </a:extLst>
        </xdr:cNvPr>
        <xdr:cNvSpPr/>
      </xdr:nvSpPr>
      <xdr:spPr>
        <a:xfrm>
          <a:off x="1984980" y="948795"/>
          <a:ext cx="1856992" cy="941734"/>
        </a:xfrm>
        <a:prstGeom prst="roundRect">
          <a:avLst>
            <a:gd name="adj" fmla="val 520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164308</xdr:colOff>
      <xdr:row>23</xdr:row>
      <xdr:rowOff>52375</xdr:rowOff>
    </xdr:from>
    <xdr:to>
      <xdr:col>11</xdr:col>
      <xdr:colOff>315680</xdr:colOff>
      <xdr:row>34</xdr:row>
      <xdr:rowOff>97198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63F4CAA5-65AF-4AF3-9EC2-7848595057C7}"/>
            </a:ext>
          </a:extLst>
        </xdr:cNvPr>
        <xdr:cNvSpPr/>
      </xdr:nvSpPr>
      <xdr:spPr>
        <a:xfrm>
          <a:off x="2006756" y="4237688"/>
          <a:ext cx="5064566" cy="2046495"/>
        </a:xfrm>
        <a:prstGeom prst="roundRect">
          <a:avLst>
            <a:gd name="adj" fmla="val 353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448235</xdr:colOff>
      <xdr:row>11</xdr:row>
      <xdr:rowOff>55781</xdr:rowOff>
    </xdr:from>
    <xdr:to>
      <xdr:col>19</xdr:col>
      <xdr:colOff>110964</xdr:colOff>
      <xdr:row>22</xdr:row>
      <xdr:rowOff>100603</xdr:rowOff>
    </xdr:to>
    <xdr:sp macro="" textlink="">
      <xdr:nvSpPr>
        <xdr:cNvPr id="86" name="Rectangle: Rounded Corners 85">
          <a:extLst>
            <a:ext uri="{FF2B5EF4-FFF2-40B4-BE49-F238E27FC236}">
              <a16:creationId xmlns:a16="http://schemas.microsoft.com/office/drawing/2014/main" id="{4D3DAA66-810B-43F8-9E74-2D571917D8E2}"/>
            </a:ext>
          </a:extLst>
        </xdr:cNvPr>
        <xdr:cNvSpPr/>
      </xdr:nvSpPr>
      <xdr:spPr>
        <a:xfrm>
          <a:off x="7140840" y="2070060"/>
          <a:ext cx="4530077" cy="2059101"/>
        </a:xfrm>
        <a:prstGeom prst="roundRect">
          <a:avLst>
            <a:gd name="adj" fmla="val 353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578528</xdr:colOff>
      <xdr:row>1</xdr:row>
      <xdr:rowOff>102057</xdr:rowOff>
    </xdr:from>
    <xdr:to>
      <xdr:col>6</xdr:col>
      <xdr:colOff>62080</xdr:colOff>
      <xdr:row>3</xdr:row>
      <xdr:rowOff>13699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AB99495-6CBC-E36E-D5AE-10483425A9AA}"/>
            </a:ext>
          </a:extLst>
        </xdr:cNvPr>
        <xdr:cNvSpPr txBox="1"/>
      </xdr:nvSpPr>
      <xdr:spPr>
        <a:xfrm>
          <a:off x="1794303" y="281855"/>
          <a:ext cx="1915103" cy="271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REAL ESTATE GROUP</a:t>
          </a:r>
        </a:p>
      </xdr:txBody>
    </xdr:sp>
    <xdr:clientData/>
  </xdr:twoCellAnchor>
  <xdr:twoCellAnchor>
    <xdr:from>
      <xdr:col>2</xdr:col>
      <xdr:colOff>593939</xdr:colOff>
      <xdr:row>2</xdr:row>
      <xdr:rowOff>119866</xdr:rowOff>
    </xdr:from>
    <xdr:to>
      <xdr:col>8</xdr:col>
      <xdr:colOff>308225</xdr:colOff>
      <xdr:row>4</xdr:row>
      <xdr:rowOff>71921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4DAEF88-663C-49E6-8235-3EBCFE47E7E5}"/>
            </a:ext>
          </a:extLst>
        </xdr:cNvPr>
        <xdr:cNvSpPr txBox="1"/>
      </xdr:nvSpPr>
      <xdr:spPr>
        <a:xfrm>
          <a:off x="1809714" y="479462"/>
          <a:ext cx="3361612" cy="31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Market Research &amp;</a:t>
          </a:r>
          <a:r>
            <a:rPr lang="en-US" sz="1100" b="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Investment Analysis </a:t>
          </a:r>
        </a:p>
      </xdr:txBody>
    </xdr:sp>
    <xdr:clientData/>
  </xdr:twoCellAnchor>
  <xdr:twoCellAnchor>
    <xdr:from>
      <xdr:col>15</xdr:col>
      <xdr:colOff>87080</xdr:colOff>
      <xdr:row>1</xdr:row>
      <xdr:rowOff>102057</xdr:rowOff>
    </xdr:from>
    <xdr:to>
      <xdr:col>20</xdr:col>
      <xdr:colOff>409254</xdr:colOff>
      <xdr:row>3</xdr:row>
      <xdr:rowOff>54112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B0E63E9-145E-454C-9C05-5D66189F7711}"/>
            </a:ext>
          </a:extLst>
        </xdr:cNvPr>
        <xdr:cNvSpPr txBox="1"/>
      </xdr:nvSpPr>
      <xdr:spPr>
        <a:xfrm>
          <a:off x="9205395" y="281855"/>
          <a:ext cx="3361612" cy="31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Lagos Mid-Market Residential Rental Market</a:t>
          </a:r>
        </a:p>
      </xdr:txBody>
    </xdr:sp>
    <xdr:clientData/>
  </xdr:twoCellAnchor>
  <xdr:twoCellAnchor>
    <xdr:from>
      <xdr:col>18</xdr:col>
      <xdr:colOff>412428</xdr:colOff>
      <xdr:row>3</xdr:row>
      <xdr:rowOff>58222</xdr:rowOff>
    </xdr:from>
    <xdr:to>
      <xdr:col>19</xdr:col>
      <xdr:colOff>505146</xdr:colOff>
      <xdr:row>3</xdr:row>
      <xdr:rowOff>171236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509BC9D-6969-4E5D-B255-AB75305CA905}"/>
            </a:ext>
          </a:extLst>
        </xdr:cNvPr>
        <xdr:cNvSpPr txBox="1"/>
      </xdr:nvSpPr>
      <xdr:spPr>
        <a:xfrm>
          <a:off x="11354406" y="597615"/>
          <a:ext cx="700605" cy="113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3</xdr:col>
      <xdr:colOff>268591</xdr:colOff>
      <xdr:row>35</xdr:row>
      <xdr:rowOff>104110</xdr:rowOff>
    </xdr:from>
    <xdr:to>
      <xdr:col>19</xdr:col>
      <xdr:colOff>68495</xdr:colOff>
      <xdr:row>37</xdr:row>
      <xdr:rowOff>38485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F473CA6A-070A-4DE5-A609-C26862750F8C}"/>
            </a:ext>
          </a:extLst>
        </xdr:cNvPr>
        <xdr:cNvSpPr txBox="1"/>
      </xdr:nvSpPr>
      <xdr:spPr>
        <a:xfrm>
          <a:off x="2092773" y="6569565"/>
          <a:ext cx="9528874" cy="303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Sources: </a:t>
          </a:r>
          <a:r>
            <a:rPr lang="en-US" i="1"/>
            <a:t>NPC, NBS, CBN, Lagos State Government, Knight Frank, and Estate Intel. 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Figures reflect 2026 asking prices, not transaction prices.</a:t>
          </a:r>
          <a:endParaRPr lang="en-US">
            <a:effectLst/>
          </a:endParaRPr>
        </a:p>
        <a:p>
          <a:pPr latinLnBrk="1"/>
          <a:endParaRPr lang="en-US" sz="11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186530</xdr:colOff>
      <xdr:row>5</xdr:row>
      <xdr:rowOff>107240</xdr:rowOff>
    </xdr:from>
    <xdr:to>
      <xdr:col>5</xdr:col>
      <xdr:colOff>23567</xdr:colOff>
      <xdr:row>6</xdr:row>
      <xdr:rowOff>100441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56BB367-B26A-4B9B-AB25-D806942A2BFD}"/>
            </a:ext>
          </a:extLst>
        </xdr:cNvPr>
        <xdr:cNvSpPr txBox="1"/>
      </xdr:nvSpPr>
      <xdr:spPr>
        <a:xfrm>
          <a:off x="2006863" y="1024462"/>
          <a:ext cx="1050593" cy="176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 Gross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Yield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284633</xdr:colOff>
      <xdr:row>11</xdr:row>
      <xdr:rowOff>158908</xdr:rowOff>
    </xdr:from>
    <xdr:to>
      <xdr:col>7</xdr:col>
      <xdr:colOff>317416</xdr:colOff>
      <xdr:row>12</xdr:row>
      <xdr:rowOff>155864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B186499-785B-4181-A32E-1FA6F7F7C70D}"/>
            </a:ext>
          </a:extLst>
        </xdr:cNvPr>
        <xdr:cNvSpPr txBox="1"/>
      </xdr:nvSpPr>
      <xdr:spPr>
        <a:xfrm>
          <a:off x="2116795" y="2192776"/>
          <a:ext cx="2475665" cy="181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Rental Prices by Location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547705</xdr:colOff>
      <xdr:row>11</xdr:row>
      <xdr:rowOff>131510</xdr:rowOff>
    </xdr:from>
    <xdr:to>
      <xdr:col>15</xdr:col>
      <xdr:colOff>31257</xdr:colOff>
      <xdr:row>13</xdr:row>
      <xdr:rowOff>9896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B30A1BB-ADBA-4D40-8325-8BA8FA2CDA7E}"/>
            </a:ext>
          </a:extLst>
        </xdr:cNvPr>
        <xdr:cNvSpPr txBox="1"/>
      </xdr:nvSpPr>
      <xdr:spPr>
        <a:xfrm>
          <a:off x="7296848" y="2090939"/>
          <a:ext cx="1937786" cy="23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Gross Rental Yield by Location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218731</xdr:colOff>
      <xdr:row>23</xdr:row>
      <xdr:rowOff>99776</xdr:rowOff>
    </xdr:from>
    <xdr:to>
      <xdr:col>6</xdr:col>
      <xdr:colOff>407343</xdr:colOff>
      <xdr:row>24</xdr:row>
      <xdr:rowOff>114020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AD11286-424E-4A0E-BB60-6D9569DE4D20}"/>
            </a:ext>
          </a:extLst>
        </xdr:cNvPr>
        <xdr:cNvSpPr txBox="1"/>
      </xdr:nvSpPr>
      <xdr:spPr>
        <a:xfrm>
          <a:off x="2043844" y="4339937"/>
          <a:ext cx="2013725" cy="19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Rental Price Trend (2025–2026)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476647</xdr:colOff>
      <xdr:row>5</xdr:row>
      <xdr:rowOff>107240</xdr:rowOff>
    </xdr:from>
    <xdr:to>
      <xdr:col>6</xdr:col>
      <xdr:colOff>181172</xdr:colOff>
      <xdr:row>6</xdr:row>
      <xdr:rowOff>91722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1CB3B85-52FA-45CC-ABA1-CD2E87703403}"/>
            </a:ext>
          </a:extLst>
        </xdr:cNvPr>
        <xdr:cNvSpPr txBox="1"/>
      </xdr:nvSpPr>
      <xdr:spPr>
        <a:xfrm>
          <a:off x="2903758" y="1024462"/>
          <a:ext cx="918081" cy="167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(Before Expenses)</a:t>
          </a:r>
        </a:p>
      </xdr:txBody>
    </xdr:sp>
    <xdr:clientData/>
  </xdr:twoCellAnchor>
  <xdr:twoCellAnchor>
    <xdr:from>
      <xdr:col>3</xdr:col>
      <xdr:colOff>162574</xdr:colOff>
      <xdr:row>8</xdr:row>
      <xdr:rowOff>60122</xdr:rowOff>
    </xdr:from>
    <xdr:to>
      <xdr:col>6</xdr:col>
      <xdr:colOff>197161</xdr:colOff>
      <xdr:row>8</xdr:row>
      <xdr:rowOff>60122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EEB551B2-6385-4289-8C13-647B064DB0CA}"/>
            </a:ext>
          </a:extLst>
        </xdr:cNvPr>
        <xdr:cNvCxnSpPr/>
      </xdr:nvCxnSpPr>
      <xdr:spPr>
        <a:xfrm>
          <a:off x="1995901" y="1508676"/>
          <a:ext cx="1867913" cy="0"/>
        </a:xfrm>
        <a:prstGeom prst="line">
          <a:avLst/>
        </a:prstGeom>
        <a:ln>
          <a:solidFill>
            <a:srgbClr val="15223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292893</xdr:colOff>
      <xdr:row>5</xdr:row>
      <xdr:rowOff>42921</xdr:rowOff>
    </xdr:from>
    <xdr:to>
      <xdr:col>9</xdr:col>
      <xdr:colOff>327479</xdr:colOff>
      <xdr:row>10</xdr:row>
      <xdr:rowOff>78781</xdr:rowOff>
    </xdr:to>
    <xdr:sp macro="" textlink="">
      <xdr:nvSpPr>
        <xdr:cNvPr id="127" name="Rectangle: Rounded Corners 126">
          <a:extLst>
            <a:ext uri="{FF2B5EF4-FFF2-40B4-BE49-F238E27FC236}">
              <a16:creationId xmlns:a16="http://schemas.microsoft.com/office/drawing/2014/main" id="{5723B93A-E8AF-4B3A-8820-59B9F0D11EC2}"/>
            </a:ext>
          </a:extLst>
        </xdr:cNvPr>
        <xdr:cNvSpPr/>
      </xdr:nvSpPr>
      <xdr:spPr>
        <a:xfrm>
          <a:off x="3937704" y="948795"/>
          <a:ext cx="1856992" cy="941734"/>
        </a:xfrm>
        <a:prstGeom prst="roundRect">
          <a:avLst>
            <a:gd name="adj" fmla="val 520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423210</xdr:colOff>
      <xdr:row>5</xdr:row>
      <xdr:rowOff>42921</xdr:rowOff>
    </xdr:from>
    <xdr:to>
      <xdr:col>12</xdr:col>
      <xdr:colOff>457797</xdr:colOff>
      <xdr:row>10</xdr:row>
      <xdr:rowOff>78781</xdr:rowOff>
    </xdr:to>
    <xdr:sp macro="" textlink="">
      <xdr:nvSpPr>
        <xdr:cNvPr id="128" name="Rectangle: Rounded Corners 127">
          <a:extLst>
            <a:ext uri="{FF2B5EF4-FFF2-40B4-BE49-F238E27FC236}">
              <a16:creationId xmlns:a16="http://schemas.microsoft.com/office/drawing/2014/main" id="{DC6E0576-61A4-4D27-AB0C-05E737F0788B}"/>
            </a:ext>
          </a:extLst>
        </xdr:cNvPr>
        <xdr:cNvSpPr/>
      </xdr:nvSpPr>
      <xdr:spPr>
        <a:xfrm>
          <a:off x="5890427" y="948795"/>
          <a:ext cx="1856992" cy="941734"/>
        </a:xfrm>
        <a:prstGeom prst="roundRect">
          <a:avLst>
            <a:gd name="adj" fmla="val 520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553528</xdr:colOff>
      <xdr:row>5</xdr:row>
      <xdr:rowOff>42921</xdr:rowOff>
    </xdr:from>
    <xdr:to>
      <xdr:col>15</xdr:col>
      <xdr:colOff>588114</xdr:colOff>
      <xdr:row>10</xdr:row>
      <xdr:rowOff>78781</xdr:rowOff>
    </xdr:to>
    <xdr:sp macro="" textlink="">
      <xdr:nvSpPr>
        <xdr:cNvPr id="129" name="Rectangle: Rounded Corners 128">
          <a:extLst>
            <a:ext uri="{FF2B5EF4-FFF2-40B4-BE49-F238E27FC236}">
              <a16:creationId xmlns:a16="http://schemas.microsoft.com/office/drawing/2014/main" id="{88DE6241-B1D7-43DC-BEFF-046A524B464C}"/>
            </a:ext>
          </a:extLst>
        </xdr:cNvPr>
        <xdr:cNvSpPr/>
      </xdr:nvSpPr>
      <xdr:spPr>
        <a:xfrm>
          <a:off x="7843150" y="948795"/>
          <a:ext cx="1856992" cy="941734"/>
        </a:xfrm>
        <a:prstGeom prst="roundRect">
          <a:avLst>
            <a:gd name="adj" fmla="val 520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76377</xdr:colOff>
      <xdr:row>5</xdr:row>
      <xdr:rowOff>42921</xdr:rowOff>
    </xdr:from>
    <xdr:to>
      <xdr:col>19</xdr:col>
      <xdr:colOff>110964</xdr:colOff>
      <xdr:row>10</xdr:row>
      <xdr:rowOff>78781</xdr:rowOff>
    </xdr:to>
    <xdr:sp macro="" textlink="">
      <xdr:nvSpPr>
        <xdr:cNvPr id="130" name="Rectangle: Rounded Corners 129">
          <a:extLst>
            <a:ext uri="{FF2B5EF4-FFF2-40B4-BE49-F238E27FC236}">
              <a16:creationId xmlns:a16="http://schemas.microsoft.com/office/drawing/2014/main" id="{B2DE5C67-321D-4141-9034-5AC1F8BF583A}"/>
            </a:ext>
          </a:extLst>
        </xdr:cNvPr>
        <xdr:cNvSpPr/>
      </xdr:nvSpPr>
      <xdr:spPr>
        <a:xfrm>
          <a:off x="9795874" y="948795"/>
          <a:ext cx="1856992" cy="941734"/>
        </a:xfrm>
        <a:prstGeom prst="roundRect">
          <a:avLst>
            <a:gd name="adj" fmla="val 5208"/>
          </a:avLst>
        </a:prstGeom>
        <a:solidFill>
          <a:srgbClr val="2845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450673</xdr:colOff>
      <xdr:row>5</xdr:row>
      <xdr:rowOff>107240</xdr:rowOff>
    </xdr:from>
    <xdr:to>
      <xdr:col>11</xdr:col>
      <xdr:colOff>222665</xdr:colOff>
      <xdr:row>6</xdr:row>
      <xdr:rowOff>92997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EC7401D-EFA8-4756-AC08-ECE2D71F84C7}"/>
            </a:ext>
          </a:extLst>
        </xdr:cNvPr>
        <xdr:cNvSpPr txBox="1"/>
      </xdr:nvSpPr>
      <xdr:spPr>
        <a:xfrm>
          <a:off x="5911673" y="1024462"/>
          <a:ext cx="985548" cy="169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Inflation Rate</a:t>
          </a:r>
        </a:p>
      </xdr:txBody>
    </xdr:sp>
    <xdr:clientData/>
  </xdr:twoCellAnchor>
  <xdr:twoCellAnchor>
    <xdr:from>
      <xdr:col>16</xdr:col>
      <xdr:colOff>90633</xdr:colOff>
      <xdr:row>5</xdr:row>
      <xdr:rowOff>107240</xdr:rowOff>
    </xdr:from>
    <xdr:to>
      <xdr:col>17</xdr:col>
      <xdr:colOff>575553</xdr:colOff>
      <xdr:row>6</xdr:row>
      <xdr:rowOff>102455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A968404-418C-4556-80EE-FCDC60D68AA1}"/>
            </a:ext>
          </a:extLst>
        </xdr:cNvPr>
        <xdr:cNvSpPr txBox="1"/>
      </xdr:nvSpPr>
      <xdr:spPr>
        <a:xfrm>
          <a:off x="9799077" y="1024462"/>
          <a:ext cx="1091698" cy="178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Housing Deficit</a:t>
          </a:r>
        </a:p>
      </xdr:txBody>
    </xdr:sp>
    <xdr:clientData/>
  </xdr:twoCellAnchor>
  <xdr:twoCellAnchor>
    <xdr:from>
      <xdr:col>17</xdr:col>
      <xdr:colOff>405518</xdr:colOff>
      <xdr:row>5</xdr:row>
      <xdr:rowOff>107240</xdr:rowOff>
    </xdr:from>
    <xdr:to>
      <xdr:col>18</xdr:col>
      <xdr:colOff>597677</xdr:colOff>
      <xdr:row>6</xdr:row>
      <xdr:rowOff>85258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7FC3F7E-8AAF-43DB-A320-BD9DB69E0CBD}"/>
            </a:ext>
          </a:extLst>
        </xdr:cNvPr>
        <xdr:cNvSpPr txBox="1"/>
      </xdr:nvSpPr>
      <xdr:spPr>
        <a:xfrm>
          <a:off x="10720740" y="1024462"/>
          <a:ext cx="798937" cy="161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8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Units (2026)</a:t>
          </a:r>
        </a:p>
      </xdr:txBody>
    </xdr:sp>
    <xdr:clientData/>
  </xdr:twoCellAnchor>
  <xdr:twoCellAnchor>
    <xdr:from>
      <xdr:col>8</xdr:col>
      <xdr:colOff>428803</xdr:colOff>
      <xdr:row>5</xdr:row>
      <xdr:rowOff>107240</xdr:rowOff>
    </xdr:from>
    <xdr:to>
      <xdr:col>9</xdr:col>
      <xdr:colOff>317690</xdr:colOff>
      <xdr:row>6</xdr:row>
      <xdr:rowOff>52868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B713F31-B5B0-4002-9599-A889AB0B2A52}"/>
            </a:ext>
          </a:extLst>
        </xdr:cNvPr>
        <xdr:cNvSpPr txBox="1"/>
      </xdr:nvSpPr>
      <xdr:spPr>
        <a:xfrm>
          <a:off x="5283025" y="1024462"/>
          <a:ext cx="495665" cy="129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</a:t>
          </a:r>
        </a:p>
      </xdr:txBody>
    </xdr:sp>
    <xdr:clientData/>
  </xdr:twoCellAnchor>
  <xdr:twoCellAnchor>
    <xdr:from>
      <xdr:col>12</xdr:col>
      <xdr:colOff>595735</xdr:colOff>
      <xdr:row>5</xdr:row>
      <xdr:rowOff>107240</xdr:rowOff>
    </xdr:from>
    <xdr:to>
      <xdr:col>13</xdr:col>
      <xdr:colOff>465851</xdr:colOff>
      <xdr:row>6</xdr:row>
      <xdr:rowOff>118105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9E3A663-372C-4704-A140-E1998A1F7C37}"/>
            </a:ext>
          </a:extLst>
        </xdr:cNvPr>
        <xdr:cNvSpPr txBox="1"/>
      </xdr:nvSpPr>
      <xdr:spPr>
        <a:xfrm>
          <a:off x="7877068" y="1024462"/>
          <a:ext cx="476894" cy="194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MPR</a:t>
          </a: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26674</xdr:colOff>
      <xdr:row>5</xdr:row>
      <xdr:rowOff>107240</xdr:rowOff>
    </xdr:from>
    <xdr:to>
      <xdr:col>12</xdr:col>
      <xdr:colOff>316854</xdr:colOff>
      <xdr:row>6</xdr:row>
      <xdr:rowOff>59972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474A907-F273-4751-BF9E-B5C04469A036}"/>
            </a:ext>
          </a:extLst>
        </xdr:cNvPr>
        <xdr:cNvSpPr txBox="1"/>
      </xdr:nvSpPr>
      <xdr:spPr>
        <a:xfrm>
          <a:off x="6701230" y="1024462"/>
          <a:ext cx="896957" cy="1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(year-end 2025)</a:t>
          </a:r>
        </a:p>
      </xdr:txBody>
    </xdr:sp>
    <xdr:clientData/>
  </xdr:twoCellAnchor>
  <xdr:twoCellAnchor>
    <xdr:from>
      <xdr:col>6</xdr:col>
      <xdr:colOff>301643</xdr:colOff>
      <xdr:row>7</xdr:row>
      <xdr:rowOff>0</xdr:rowOff>
    </xdr:from>
    <xdr:to>
      <xdr:col>7</xdr:col>
      <xdr:colOff>155223</xdr:colOff>
      <xdr:row>7</xdr:row>
      <xdr:rowOff>129621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7CCDFD0-2509-4E91-86A1-843FA391729D}"/>
            </a:ext>
          </a:extLst>
        </xdr:cNvPr>
        <xdr:cNvSpPr txBox="1"/>
      </xdr:nvSpPr>
      <xdr:spPr>
        <a:xfrm>
          <a:off x="3970532" y="1284111"/>
          <a:ext cx="465061" cy="129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Rental</a:t>
          </a:r>
        </a:p>
      </xdr:txBody>
    </xdr:sp>
    <xdr:clientData/>
  </xdr:twoCellAnchor>
  <xdr:twoCellAnchor>
    <xdr:from>
      <xdr:col>6</xdr:col>
      <xdr:colOff>290844</xdr:colOff>
      <xdr:row>5</xdr:row>
      <xdr:rowOff>107240</xdr:rowOff>
    </xdr:from>
    <xdr:to>
      <xdr:col>8</xdr:col>
      <xdr:colOff>150458</xdr:colOff>
      <xdr:row>6</xdr:row>
      <xdr:rowOff>69883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404552E-153C-42D5-8967-4CF60F3AA05E}"/>
            </a:ext>
          </a:extLst>
        </xdr:cNvPr>
        <xdr:cNvSpPr txBox="1"/>
      </xdr:nvSpPr>
      <xdr:spPr>
        <a:xfrm>
          <a:off x="3931511" y="1024462"/>
          <a:ext cx="1073169" cy="146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 YoY Growth</a:t>
          </a: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286752</xdr:colOff>
      <xdr:row>8</xdr:row>
      <xdr:rowOff>60122</xdr:rowOff>
    </xdr:from>
    <xdr:to>
      <xdr:col>9</xdr:col>
      <xdr:colOff>321339</xdr:colOff>
      <xdr:row>8</xdr:row>
      <xdr:rowOff>60122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E65F9B8C-DBF3-49F0-B20F-7347942C1598}"/>
            </a:ext>
          </a:extLst>
        </xdr:cNvPr>
        <xdr:cNvCxnSpPr/>
      </xdr:nvCxnSpPr>
      <xdr:spPr>
        <a:xfrm>
          <a:off x="3953405" y="1508676"/>
          <a:ext cx="1867914" cy="0"/>
        </a:xfrm>
        <a:prstGeom prst="line">
          <a:avLst/>
        </a:prstGeom>
        <a:ln>
          <a:solidFill>
            <a:srgbClr val="15223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422218</xdr:colOff>
      <xdr:row>8</xdr:row>
      <xdr:rowOff>60122</xdr:rowOff>
    </xdr:from>
    <xdr:to>
      <xdr:col>12</xdr:col>
      <xdr:colOff>456805</xdr:colOff>
      <xdr:row>8</xdr:row>
      <xdr:rowOff>60122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ACBA6ADB-31A1-4B1F-AC9D-2315927040DE}"/>
            </a:ext>
          </a:extLst>
        </xdr:cNvPr>
        <xdr:cNvCxnSpPr/>
      </xdr:nvCxnSpPr>
      <xdr:spPr>
        <a:xfrm>
          <a:off x="5922198" y="1508676"/>
          <a:ext cx="1867914" cy="0"/>
        </a:xfrm>
        <a:prstGeom prst="line">
          <a:avLst/>
        </a:prstGeom>
        <a:ln>
          <a:solidFill>
            <a:srgbClr val="15223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557685</xdr:colOff>
      <xdr:row>8</xdr:row>
      <xdr:rowOff>60122</xdr:rowOff>
    </xdr:from>
    <xdr:to>
      <xdr:col>15</xdr:col>
      <xdr:colOff>592272</xdr:colOff>
      <xdr:row>8</xdr:row>
      <xdr:rowOff>60122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53743F05-33C0-4796-A418-79BB4CB491BE}"/>
            </a:ext>
          </a:extLst>
        </xdr:cNvPr>
        <xdr:cNvCxnSpPr/>
      </xdr:nvCxnSpPr>
      <xdr:spPr>
        <a:xfrm>
          <a:off x="7890992" y="1508676"/>
          <a:ext cx="1867914" cy="0"/>
        </a:xfrm>
        <a:prstGeom prst="line">
          <a:avLst/>
        </a:prstGeom>
        <a:ln>
          <a:solidFill>
            <a:srgbClr val="15223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77907</xdr:colOff>
      <xdr:row>8</xdr:row>
      <xdr:rowOff>60122</xdr:rowOff>
    </xdr:from>
    <xdr:to>
      <xdr:col>19</xdr:col>
      <xdr:colOff>112494</xdr:colOff>
      <xdr:row>8</xdr:row>
      <xdr:rowOff>60122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585D0692-0D7B-47A0-ABAD-74F5FCF344B1}"/>
            </a:ext>
          </a:extLst>
        </xdr:cNvPr>
        <xdr:cNvCxnSpPr/>
      </xdr:nvCxnSpPr>
      <xdr:spPr>
        <a:xfrm>
          <a:off x="9855650" y="1508676"/>
          <a:ext cx="1867913" cy="0"/>
        </a:xfrm>
        <a:prstGeom prst="line">
          <a:avLst/>
        </a:prstGeom>
        <a:ln>
          <a:solidFill>
            <a:srgbClr val="15223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204522</xdr:colOff>
      <xdr:row>6</xdr:row>
      <xdr:rowOff>106033</xdr:rowOff>
    </xdr:from>
    <xdr:to>
      <xdr:col>4</xdr:col>
      <xdr:colOff>288459</xdr:colOff>
      <xdr:row>8</xdr:row>
      <xdr:rowOff>7421</xdr:rowOff>
    </xdr:to>
    <xdr:sp macro="" textlink="Analysis!B26">
      <xdr:nvSpPr>
        <xdr:cNvPr id="137" name="TextBox 136">
          <a:extLst>
            <a:ext uri="{FF2B5EF4-FFF2-40B4-BE49-F238E27FC236}">
              <a16:creationId xmlns:a16="http://schemas.microsoft.com/office/drawing/2014/main" id="{742F7DF2-E151-0575-9AD5-C2F4EBF2A4C2}"/>
            </a:ext>
          </a:extLst>
        </xdr:cNvPr>
        <xdr:cNvSpPr txBox="1"/>
      </xdr:nvSpPr>
      <xdr:spPr>
        <a:xfrm>
          <a:off x="2024855" y="1206700"/>
          <a:ext cx="690715" cy="268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F151F7-3281-4AD3-BBFC-A406753FBBCC}" type="TxLink">
            <a:rPr lang="en-US" sz="1200" b="1" i="0" u="none" strike="noStrike">
              <a:solidFill>
                <a:schemeClr val="tx1"/>
              </a:solidFill>
              <a:latin typeface="Aptos Narrow"/>
            </a:rPr>
            <a:pPr/>
            <a:t>4.2%</a:t>
          </a:fld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58573</xdr:colOff>
      <xdr:row>6</xdr:row>
      <xdr:rowOff>106033</xdr:rowOff>
    </xdr:from>
    <xdr:to>
      <xdr:col>8</xdr:col>
      <xdr:colOff>178722</xdr:colOff>
      <xdr:row>8</xdr:row>
      <xdr:rowOff>7421</xdr:rowOff>
    </xdr:to>
    <xdr:sp macro="" textlink="Analysis!B27">
      <xdr:nvSpPr>
        <xdr:cNvPr id="141" name="TextBox 140">
          <a:extLst>
            <a:ext uri="{FF2B5EF4-FFF2-40B4-BE49-F238E27FC236}">
              <a16:creationId xmlns:a16="http://schemas.microsoft.com/office/drawing/2014/main" id="{1D84B5D2-CAC8-4881-B9C2-88173B150517}"/>
            </a:ext>
          </a:extLst>
        </xdr:cNvPr>
        <xdr:cNvSpPr txBox="1"/>
      </xdr:nvSpPr>
      <xdr:spPr>
        <a:xfrm>
          <a:off x="4306017" y="1206700"/>
          <a:ext cx="726927" cy="268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794E157-3675-49FD-8DF5-929A3DFD6573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33.6%</a:t>
          </a:fld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267156</xdr:colOff>
      <xdr:row>6</xdr:row>
      <xdr:rowOff>106033</xdr:rowOff>
    </xdr:from>
    <xdr:to>
      <xdr:col>9</xdr:col>
      <xdr:colOff>394855</xdr:colOff>
      <xdr:row>8</xdr:row>
      <xdr:rowOff>7421</xdr:rowOff>
    </xdr:to>
    <xdr:sp macro="" textlink="Analysis!B28">
      <xdr:nvSpPr>
        <xdr:cNvPr id="142" name="TextBox 141">
          <a:extLst>
            <a:ext uri="{FF2B5EF4-FFF2-40B4-BE49-F238E27FC236}">
              <a16:creationId xmlns:a16="http://schemas.microsoft.com/office/drawing/2014/main" id="{CC71EA9A-2331-4E17-8F1E-B57163AA5B16}"/>
            </a:ext>
          </a:extLst>
        </xdr:cNvPr>
        <xdr:cNvSpPr txBox="1"/>
      </xdr:nvSpPr>
      <xdr:spPr>
        <a:xfrm>
          <a:off x="5121378" y="1206700"/>
          <a:ext cx="734477" cy="268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95D1BC-8931-4944-9759-208ACEEAA739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40.6%</a:t>
          </a:fld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449908</xdr:colOff>
      <xdr:row>6</xdr:row>
      <xdr:rowOff>106033</xdr:rowOff>
    </xdr:from>
    <xdr:to>
      <xdr:col>10</xdr:col>
      <xdr:colOff>573720</xdr:colOff>
      <xdr:row>8</xdr:row>
      <xdr:rowOff>7421</xdr:rowOff>
    </xdr:to>
    <xdr:sp macro="" textlink="Analysis!B29">
      <xdr:nvSpPr>
        <xdr:cNvPr id="143" name="TextBox 142">
          <a:extLst>
            <a:ext uri="{FF2B5EF4-FFF2-40B4-BE49-F238E27FC236}">
              <a16:creationId xmlns:a16="http://schemas.microsoft.com/office/drawing/2014/main" id="{8E3C3B07-A291-4F5A-B68B-A1AAFDA51BE8}"/>
            </a:ext>
          </a:extLst>
        </xdr:cNvPr>
        <xdr:cNvSpPr txBox="1"/>
      </xdr:nvSpPr>
      <xdr:spPr>
        <a:xfrm>
          <a:off x="5910908" y="1206700"/>
          <a:ext cx="730590" cy="268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371CCA-F74A-4E88-BD68-67BDE82A76F1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23.0%</a:t>
          </a:fld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596275</xdr:colOff>
      <xdr:row>6</xdr:row>
      <xdr:rowOff>106033</xdr:rowOff>
    </xdr:from>
    <xdr:to>
      <xdr:col>14</xdr:col>
      <xdr:colOff>124691</xdr:colOff>
      <xdr:row>8</xdr:row>
      <xdr:rowOff>7421</xdr:rowOff>
    </xdr:to>
    <xdr:sp macro="" textlink="Analysis!B31">
      <xdr:nvSpPr>
        <xdr:cNvPr id="144" name="TextBox 143">
          <a:extLst>
            <a:ext uri="{FF2B5EF4-FFF2-40B4-BE49-F238E27FC236}">
              <a16:creationId xmlns:a16="http://schemas.microsoft.com/office/drawing/2014/main" id="{C98C7133-90E4-4B5E-B8C2-87B7EA116B91}"/>
            </a:ext>
          </a:extLst>
        </xdr:cNvPr>
        <xdr:cNvSpPr txBox="1"/>
      </xdr:nvSpPr>
      <xdr:spPr>
        <a:xfrm>
          <a:off x="7877608" y="1206700"/>
          <a:ext cx="741972" cy="268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2F3CDF-9049-4A89-AD42-4926ECD9AAA4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27.0%</a:t>
          </a:fld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120963</xdr:colOff>
      <xdr:row>6</xdr:row>
      <xdr:rowOff>106033</xdr:rowOff>
    </xdr:from>
    <xdr:to>
      <xdr:col>17</xdr:col>
      <xdr:colOff>134288</xdr:colOff>
      <xdr:row>8</xdr:row>
      <xdr:rowOff>7421</xdr:rowOff>
    </xdr:to>
    <xdr:sp macro="" textlink="Analysis!B33">
      <xdr:nvSpPr>
        <xdr:cNvPr id="146" name="TextBox 145">
          <a:extLst>
            <a:ext uri="{FF2B5EF4-FFF2-40B4-BE49-F238E27FC236}">
              <a16:creationId xmlns:a16="http://schemas.microsoft.com/office/drawing/2014/main" id="{2CEC89CE-953A-4C39-896C-6889A609C99B}"/>
            </a:ext>
          </a:extLst>
        </xdr:cNvPr>
        <xdr:cNvSpPr txBox="1"/>
      </xdr:nvSpPr>
      <xdr:spPr>
        <a:xfrm>
          <a:off x="9829407" y="1206700"/>
          <a:ext cx="620103" cy="268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B4EC85-7047-43A0-86D8-DD81598E0F35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/>
            <a:t>3.4M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184080</xdr:colOff>
      <xdr:row>8</xdr:row>
      <xdr:rowOff>91921</xdr:rowOff>
    </xdr:from>
    <xdr:to>
      <xdr:col>6</xdr:col>
      <xdr:colOff>171237</xdr:colOff>
      <xdr:row>10</xdr:row>
      <xdr:rowOff>55651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C6B9A17-60A2-4928-AC3A-97EE064F3F0F}"/>
            </a:ext>
          </a:extLst>
        </xdr:cNvPr>
        <xdr:cNvSpPr txBox="1"/>
      </xdr:nvSpPr>
      <xdr:spPr>
        <a:xfrm>
          <a:off x="2007743" y="1564550"/>
          <a:ext cx="1810820" cy="331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65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Rental yield alone sits below inflation, producing a negative real return of -18.8%.</a:t>
          </a:r>
        </a:p>
      </xdr:txBody>
    </xdr:sp>
    <xdr:clientData/>
  </xdr:twoCellAnchor>
  <xdr:twoCellAnchor>
    <xdr:from>
      <xdr:col>6</xdr:col>
      <xdr:colOff>297367</xdr:colOff>
      <xdr:row>8</xdr:row>
      <xdr:rowOff>77720</xdr:rowOff>
    </xdr:from>
    <xdr:to>
      <xdr:col>9</xdr:col>
      <xdr:colOff>308278</xdr:colOff>
      <xdr:row>10</xdr:row>
      <xdr:rowOff>41450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DB948D5-97E5-440A-9F79-5E96643EBE8B}"/>
            </a:ext>
          </a:extLst>
        </xdr:cNvPr>
        <xdr:cNvSpPr txBox="1"/>
      </xdr:nvSpPr>
      <xdr:spPr>
        <a:xfrm>
          <a:off x="3949391" y="1527379"/>
          <a:ext cx="1836924" cy="326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65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Rents and Sale are both rising strongly, with capital appreciation outpacing rental growth.</a:t>
          </a:r>
        </a:p>
      </xdr:txBody>
    </xdr:sp>
    <xdr:clientData/>
  </xdr:twoCellAnchor>
  <xdr:twoCellAnchor>
    <xdr:from>
      <xdr:col>9</xdr:col>
      <xdr:colOff>456761</xdr:colOff>
      <xdr:row>8</xdr:row>
      <xdr:rowOff>64567</xdr:rowOff>
    </xdr:from>
    <xdr:to>
      <xdr:col>12</xdr:col>
      <xdr:colOff>443918</xdr:colOff>
      <xdr:row>10</xdr:row>
      <xdr:rowOff>28297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12E8C5D-A882-4611-ACF1-01000C81DBCD}"/>
            </a:ext>
          </a:extLst>
        </xdr:cNvPr>
        <xdr:cNvSpPr txBox="1"/>
      </xdr:nvSpPr>
      <xdr:spPr>
        <a:xfrm>
          <a:off x="5934798" y="1514226"/>
          <a:ext cx="1813169" cy="326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65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Inflation at 23% signals strong rental demand and rising rent burden on mid-market tenants.</a:t>
          </a:r>
        </a:p>
      </xdr:txBody>
    </xdr:sp>
    <xdr:clientData/>
  </xdr:twoCellAnchor>
  <xdr:twoCellAnchor>
    <xdr:from>
      <xdr:col>12</xdr:col>
      <xdr:colOff>599868</xdr:colOff>
      <xdr:row>8</xdr:row>
      <xdr:rowOff>49699</xdr:rowOff>
    </xdr:from>
    <xdr:to>
      <xdr:col>15</xdr:col>
      <xdr:colOff>469281</xdr:colOff>
      <xdr:row>10</xdr:row>
      <xdr:rowOff>13429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B068A0C-765A-4BA2-81EE-E6027E656485}"/>
            </a:ext>
          </a:extLst>
        </xdr:cNvPr>
        <xdr:cNvSpPr txBox="1"/>
      </xdr:nvSpPr>
      <xdr:spPr>
        <a:xfrm>
          <a:off x="7903917" y="1499358"/>
          <a:ext cx="1695425" cy="326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65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 interest rates raise financing costs above rental yield, limiting leveraged investment</a:t>
          </a:r>
        </a:p>
      </xdr:txBody>
    </xdr:sp>
    <xdr:clientData/>
  </xdr:twoCellAnchor>
  <xdr:twoCellAnchor>
    <xdr:from>
      <xdr:col>16</xdr:col>
      <xdr:colOff>109603</xdr:colOff>
      <xdr:row>8</xdr:row>
      <xdr:rowOff>53647</xdr:rowOff>
    </xdr:from>
    <xdr:to>
      <xdr:col>19</xdr:col>
      <xdr:colOff>104383</xdr:colOff>
      <xdr:row>10</xdr:row>
      <xdr:rowOff>41755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B9EB1FCC-4F37-4E96-8C2B-970685786AAE}"/>
            </a:ext>
          </a:extLst>
        </xdr:cNvPr>
        <xdr:cNvSpPr txBox="1"/>
      </xdr:nvSpPr>
      <xdr:spPr>
        <a:xfrm>
          <a:off x="9879904" y="1515017"/>
          <a:ext cx="1826712" cy="35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65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supply gap remains wide. Development pipeline is far below the annual requirement of 227,576 units</a:t>
          </a:r>
        </a:p>
      </xdr:txBody>
    </xdr:sp>
    <xdr:clientData/>
  </xdr:twoCellAnchor>
  <xdr:twoCellAnchor editAs="oneCell">
    <xdr:from>
      <xdr:col>18</xdr:col>
      <xdr:colOff>197691</xdr:colOff>
      <xdr:row>2</xdr:row>
      <xdr:rowOff>178712</xdr:rowOff>
    </xdr:from>
    <xdr:to>
      <xdr:col>18</xdr:col>
      <xdr:colOff>422619</xdr:colOff>
      <xdr:row>4</xdr:row>
      <xdr:rowOff>34022</xdr:rowOff>
    </xdr:to>
    <xdr:pic>
      <xdr:nvPicPr>
        <xdr:cNvPr id="159" name="Graphic 158" descr="Flip calendar with solid fill">
          <a:extLst>
            <a:ext uri="{FF2B5EF4-FFF2-40B4-BE49-F238E27FC236}">
              <a16:creationId xmlns:a16="http://schemas.microsoft.com/office/drawing/2014/main" id="{90FD9D41-7604-CB16-FB77-975C090C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47439" y="550107"/>
          <a:ext cx="224928" cy="226705"/>
        </a:xfrm>
        <a:prstGeom prst="rect">
          <a:avLst/>
        </a:prstGeom>
      </xdr:spPr>
    </xdr:pic>
    <xdr:clientData/>
  </xdr:twoCellAnchor>
  <xdr:twoCellAnchor>
    <xdr:from>
      <xdr:col>3</xdr:col>
      <xdr:colOff>346363</xdr:colOff>
      <xdr:row>12</xdr:row>
      <xdr:rowOff>137405</xdr:rowOff>
    </xdr:from>
    <xdr:to>
      <xdr:col>11</xdr:col>
      <xdr:colOff>129886</xdr:colOff>
      <xdr:row>22</xdr:row>
      <xdr:rowOff>59473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9CA750CE-5718-4ED9-86E2-47438E502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279447</xdr:colOff>
      <xdr:row>12</xdr:row>
      <xdr:rowOff>104587</xdr:rowOff>
    </xdr:from>
    <xdr:to>
      <xdr:col>9</xdr:col>
      <xdr:colOff>151279</xdr:colOff>
      <xdr:row>13</xdr:row>
      <xdr:rowOff>125724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F5BAA469-3689-4C94-8A12-E7CABAA7B1B7}"/>
            </a:ext>
          </a:extLst>
        </xdr:cNvPr>
        <xdr:cNvSpPr txBox="1"/>
      </xdr:nvSpPr>
      <xdr:spPr>
        <a:xfrm>
          <a:off x="2108247" y="2276287"/>
          <a:ext cx="3529432" cy="202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9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do rents compare across Lagos mid-market locations?</a:t>
          </a:r>
        </a:p>
      </xdr:txBody>
    </xdr:sp>
    <xdr:clientData/>
  </xdr:twoCellAnchor>
  <xdr:twoCellAnchor>
    <xdr:from>
      <xdr:col>3</xdr:col>
      <xdr:colOff>244274</xdr:colOff>
      <xdr:row>23</xdr:row>
      <xdr:rowOff>52698</xdr:rowOff>
    </xdr:from>
    <xdr:to>
      <xdr:col>11</xdr:col>
      <xdr:colOff>141209</xdr:colOff>
      <xdr:row>34</xdr:row>
      <xdr:rowOff>52699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B5CED7B6-7165-44B7-A065-F6CC8B391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210321</xdr:colOff>
      <xdr:row>24</xdr:row>
      <xdr:rowOff>48580</xdr:rowOff>
    </xdr:from>
    <xdr:to>
      <xdr:col>9</xdr:col>
      <xdr:colOff>84889</xdr:colOff>
      <xdr:row>25</xdr:row>
      <xdr:rowOff>69716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A3CEC90-15CD-479F-88B1-25E7FD118C8C}"/>
            </a:ext>
          </a:extLst>
        </xdr:cNvPr>
        <xdr:cNvSpPr txBox="1"/>
      </xdr:nvSpPr>
      <xdr:spPr>
        <a:xfrm>
          <a:off x="2039121" y="4391980"/>
          <a:ext cx="3532168" cy="202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9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have mid-market 2-bed rents moved over time?</a:t>
          </a:r>
        </a:p>
      </xdr:txBody>
    </xdr:sp>
    <xdr:clientData/>
  </xdr:twoCellAnchor>
  <xdr:twoCellAnchor>
    <xdr:from>
      <xdr:col>11</xdr:col>
      <xdr:colOff>435240</xdr:colOff>
      <xdr:row>23</xdr:row>
      <xdr:rowOff>60285</xdr:rowOff>
    </xdr:from>
    <xdr:to>
      <xdr:col>19</xdr:col>
      <xdr:colOff>97969</xdr:colOff>
      <xdr:row>34</xdr:row>
      <xdr:rowOff>105107</xdr:rowOff>
    </xdr:to>
    <xdr:sp macro="" textlink="">
      <xdr:nvSpPr>
        <xdr:cNvPr id="165" name="Rectangle: Rounded Corners 164">
          <a:extLst>
            <a:ext uri="{FF2B5EF4-FFF2-40B4-BE49-F238E27FC236}">
              <a16:creationId xmlns:a16="http://schemas.microsoft.com/office/drawing/2014/main" id="{45D725E0-9576-4DD4-A92F-694A84F993C0}"/>
            </a:ext>
          </a:extLst>
        </xdr:cNvPr>
        <xdr:cNvSpPr/>
      </xdr:nvSpPr>
      <xdr:spPr>
        <a:xfrm>
          <a:off x="7140840" y="4222710"/>
          <a:ext cx="4539529" cy="2035547"/>
        </a:xfrm>
        <a:prstGeom prst="roundRect">
          <a:avLst>
            <a:gd name="adj" fmla="val 3538"/>
          </a:avLst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2836</xdr:colOff>
      <xdr:row>13</xdr:row>
      <xdr:rowOff>39278</xdr:rowOff>
    </xdr:from>
    <xdr:to>
      <xdr:col>18</xdr:col>
      <xdr:colOff>463483</xdr:colOff>
      <xdr:row>22</xdr:row>
      <xdr:rowOff>133545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173492-16E1-4BC1-BD1A-7A9651EAF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602391</xdr:colOff>
      <xdr:row>26</xdr:row>
      <xdr:rowOff>87527</xdr:rowOff>
    </xdr:from>
    <xdr:to>
      <xdr:col>18</xdr:col>
      <xdr:colOff>525162</xdr:colOff>
      <xdr:row>34</xdr:row>
      <xdr:rowOff>36040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13D30F6-9D21-42B1-97BB-62FF7CD69D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7991" y="4842407"/>
              <a:ext cx="4189971" cy="14115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554559</xdr:colOff>
      <xdr:row>12</xdr:row>
      <xdr:rowOff>138729</xdr:rowOff>
    </xdr:from>
    <xdr:to>
      <xdr:col>17</xdr:col>
      <xdr:colOff>426391</xdr:colOff>
      <xdr:row>13</xdr:row>
      <xdr:rowOff>159866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A3B1B4-2DB8-4B71-98D3-CE52191F9A3B}"/>
            </a:ext>
          </a:extLst>
        </xdr:cNvPr>
        <xdr:cNvSpPr txBox="1"/>
      </xdr:nvSpPr>
      <xdr:spPr>
        <a:xfrm>
          <a:off x="7303702" y="2276287"/>
          <a:ext cx="3553183" cy="199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9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locations offer the strongest rental yield?</a:t>
          </a:r>
        </a:p>
      </xdr:txBody>
    </xdr:sp>
    <xdr:clientData/>
  </xdr:twoCellAnchor>
  <xdr:twoCellAnchor>
    <xdr:from>
      <xdr:col>11</xdr:col>
      <xdr:colOff>571456</xdr:colOff>
      <xdr:row>23</xdr:row>
      <xdr:rowOff>135469</xdr:rowOff>
    </xdr:from>
    <xdr:to>
      <xdr:col>15</xdr:col>
      <xdr:colOff>55008</xdr:colOff>
      <xdr:row>25</xdr:row>
      <xdr:rowOff>13854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3DC613-C5C7-4F82-9745-9839A789DD70}"/>
            </a:ext>
          </a:extLst>
        </xdr:cNvPr>
        <xdr:cNvSpPr txBox="1"/>
      </xdr:nvSpPr>
      <xdr:spPr>
        <a:xfrm>
          <a:off x="7320599" y="4232456"/>
          <a:ext cx="1937786" cy="23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Price-to-Rent Ratio by Location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568414</xdr:colOff>
      <xdr:row>24</xdr:row>
      <xdr:rowOff>107675</xdr:rowOff>
    </xdr:from>
    <xdr:to>
      <xdr:col>18</xdr:col>
      <xdr:colOff>414130</xdr:colOff>
      <xdr:row>25</xdr:row>
      <xdr:rowOff>163825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6825D3-E292-4FDE-BA3B-33FBDDFF855D}"/>
            </a:ext>
          </a:extLst>
        </xdr:cNvPr>
        <xdr:cNvSpPr txBox="1"/>
      </xdr:nvSpPr>
      <xdr:spPr>
        <a:xfrm>
          <a:off x="7310457" y="4480892"/>
          <a:ext cx="4136108" cy="2383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atinLnBrk="1"/>
          <a:r>
            <a:rPr lang="en-US" sz="9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years does it take to recover the property price through rent?</a:t>
          </a:r>
        </a:p>
      </xdr:txBody>
    </xdr:sp>
    <xdr:clientData/>
  </xdr:twoCellAnchor>
  <xdr:twoCellAnchor editAs="oneCell">
    <xdr:from>
      <xdr:col>1</xdr:col>
      <xdr:colOff>259080</xdr:colOff>
      <xdr:row>1</xdr:row>
      <xdr:rowOff>121920</xdr:rowOff>
    </xdr:from>
    <xdr:to>
      <xdr:col>2</xdr:col>
      <xdr:colOff>266700</xdr:colOff>
      <xdr:row>5</xdr:row>
      <xdr:rowOff>7620</xdr:rowOff>
    </xdr:to>
    <xdr:pic>
      <xdr:nvPicPr>
        <xdr:cNvPr id="14" name="Graphic 13" descr="Home with solid fill">
          <a:extLst>
            <a:ext uri="{FF2B5EF4-FFF2-40B4-BE49-F238E27FC236}">
              <a16:creationId xmlns:a16="http://schemas.microsoft.com/office/drawing/2014/main" id="{ACB05B1A-210C-45AB-638D-611234FBF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68680" y="304800"/>
          <a:ext cx="617220" cy="617220"/>
        </a:xfrm>
        <a:prstGeom prst="rect">
          <a:avLst/>
        </a:prstGeom>
      </xdr:spPr>
    </xdr:pic>
    <xdr:clientData/>
  </xdr:twoCellAnchor>
  <xdr:twoCellAnchor>
    <xdr:from>
      <xdr:col>1</xdr:col>
      <xdr:colOff>241999</xdr:colOff>
      <xdr:row>24</xdr:row>
      <xdr:rowOff>5859</xdr:rowOff>
    </xdr:from>
    <xdr:to>
      <xdr:col>2</xdr:col>
      <xdr:colOff>372627</xdr:colOff>
      <xdr:row>34</xdr:row>
      <xdr:rowOff>27632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A08D419-1CEC-4A2B-9AA1-D4457EDE63C4}"/>
            </a:ext>
          </a:extLst>
        </xdr:cNvPr>
        <xdr:cNvGrpSpPr/>
      </xdr:nvGrpSpPr>
      <xdr:grpSpPr>
        <a:xfrm>
          <a:off x="851599" y="4476259"/>
          <a:ext cx="740228" cy="1884440"/>
          <a:chOff x="158885" y="4896115"/>
          <a:chExt cx="375618" cy="987500"/>
        </a:xfrm>
        <a:solidFill>
          <a:srgbClr val="152238"/>
        </a:solidFill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9CC1D827-8D50-0505-BD97-B7B5CFD92812}"/>
              </a:ext>
            </a:extLst>
          </xdr:cNvPr>
          <xdr:cNvSpPr/>
        </xdr:nvSpPr>
        <xdr:spPr>
          <a:xfrm>
            <a:off x="158885" y="4896115"/>
            <a:ext cx="375618" cy="987500"/>
          </a:xfrm>
          <a:prstGeom prst="roundRect">
            <a:avLst>
              <a:gd name="adj" fmla="val 46667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232C70F7-F127-E3E7-12B8-9D4D46A258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colorTemperature colorTemp="6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230505" y="5324908"/>
            <a:ext cx="224790" cy="183521"/>
          </a:xfrm>
          <a:prstGeom prst="rect">
            <a:avLst/>
          </a:prstGeom>
          <a:grpFill/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3965C2B6-9971-A9DC-B2FA-AE8BCF7FE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48" y="5597910"/>
            <a:ext cx="231674" cy="177825"/>
          </a:xfrm>
          <a:prstGeom prst="rect">
            <a:avLst/>
          </a:prstGeom>
          <a:grpFill/>
        </xdr:spPr>
      </xdr:pic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4C5E5BBC-6282-FDAA-D69E-93A8A1ABFD8B}"/>
              </a:ext>
            </a:extLst>
          </xdr:cNvPr>
          <xdr:cNvGrpSpPr/>
        </xdr:nvGrpSpPr>
        <xdr:grpSpPr>
          <a:xfrm>
            <a:off x="216854" y="4994004"/>
            <a:ext cx="265043" cy="241853"/>
            <a:chOff x="216854" y="4974831"/>
            <a:chExt cx="265043" cy="241143"/>
          </a:xfrm>
          <a:grpFill/>
        </xdr:grpSpPr>
        <xdr:sp macro="" textlink="">
          <xdr:nvSpPr>
            <xdr:cNvPr id="26" name="Oval 25">
              <a:extLst>
                <a:ext uri="{FF2B5EF4-FFF2-40B4-BE49-F238E27FC236}">
                  <a16:creationId xmlns:a16="http://schemas.microsoft.com/office/drawing/2014/main" id="{456FD248-F259-46B8-515E-29CF7D11A2DA}"/>
                </a:ext>
              </a:extLst>
            </xdr:cNvPr>
            <xdr:cNvSpPr/>
          </xdr:nvSpPr>
          <xdr:spPr>
            <a:xfrm>
              <a:off x="216854" y="4974831"/>
              <a:ext cx="265043" cy="241143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7C7A946D-A79B-C416-A186-B8BF310235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66700" y="4996871"/>
              <a:ext cx="173105" cy="165665"/>
            </a:xfrm>
            <a:prstGeom prst="rect">
              <a:avLst/>
            </a:prstGeom>
            <a:grpFill/>
          </xdr:spPr>
        </xdr:pic>
      </xdr:grpSp>
    </xdr:grpSp>
    <xdr:clientData/>
  </xdr:twoCellAnchor>
  <xdr:twoCellAnchor>
    <xdr:from>
      <xdr:col>1</xdr:col>
      <xdr:colOff>104489</xdr:colOff>
      <xdr:row>13</xdr:row>
      <xdr:rowOff>49482</xdr:rowOff>
    </xdr:from>
    <xdr:to>
      <xdr:col>2</xdr:col>
      <xdr:colOff>570748</xdr:colOff>
      <xdr:row>14</xdr:row>
      <xdr:rowOff>59635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CAFAA05-EE79-0FC0-A9C3-B6AC20124097}"/>
            </a:ext>
          </a:extLst>
        </xdr:cNvPr>
        <xdr:cNvSpPr/>
      </xdr:nvSpPr>
      <xdr:spPr>
        <a:xfrm>
          <a:off x="717402" y="2418308"/>
          <a:ext cx="1079172" cy="192370"/>
        </a:xfrm>
        <a:prstGeom prst="rect">
          <a:avLst/>
        </a:prstGeom>
        <a:solidFill>
          <a:srgbClr val="152238"/>
        </a:solidFill>
        <a:ln>
          <a:solidFill>
            <a:srgbClr val="F8F8F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 i="1">
              <a:solidFill>
                <a:schemeClr val="bg1"/>
              </a:solidFill>
            </a:rPr>
            <a:t>Market Research</a:t>
          </a:r>
        </a:p>
      </xdr:txBody>
    </xdr:sp>
    <xdr:clientData/>
  </xdr:twoCellAnchor>
  <xdr:twoCellAnchor>
    <xdr:from>
      <xdr:col>1</xdr:col>
      <xdr:colOff>97863</xdr:colOff>
      <xdr:row>15</xdr:row>
      <xdr:rowOff>122369</xdr:rowOff>
    </xdr:from>
    <xdr:to>
      <xdr:col>2</xdr:col>
      <xdr:colOff>564122</xdr:colOff>
      <xdr:row>16</xdr:row>
      <xdr:rowOff>132522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F6FC7BF-9AC3-48D3-9ABE-317FF5AA1A53}"/>
            </a:ext>
          </a:extLst>
        </xdr:cNvPr>
        <xdr:cNvSpPr/>
      </xdr:nvSpPr>
      <xdr:spPr>
        <a:xfrm>
          <a:off x="710776" y="2855630"/>
          <a:ext cx="1079172" cy="192370"/>
        </a:xfrm>
        <a:prstGeom prst="rect">
          <a:avLst/>
        </a:prstGeom>
        <a:solidFill>
          <a:srgbClr val="152238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 i="1">
              <a:solidFill>
                <a:schemeClr val="bg1"/>
              </a:solidFill>
            </a:rPr>
            <a:t>Investment Analysis</a:t>
          </a:r>
        </a:p>
        <a:p>
          <a:pPr algn="l"/>
          <a:endParaRPr lang="en-US" sz="6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68045</xdr:colOff>
      <xdr:row>18</xdr:row>
      <xdr:rowOff>69361</xdr:rowOff>
    </xdr:from>
    <xdr:to>
      <xdr:col>2</xdr:col>
      <xdr:colOff>534304</xdr:colOff>
      <xdr:row>19</xdr:row>
      <xdr:rowOff>79514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21CD36C-FCE5-467E-BC7D-8467536E0B1B}"/>
            </a:ext>
          </a:extLst>
        </xdr:cNvPr>
        <xdr:cNvSpPr/>
      </xdr:nvSpPr>
      <xdr:spPr>
        <a:xfrm>
          <a:off x="677645" y="3408909"/>
          <a:ext cx="1075859" cy="195683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 i="1">
              <a:solidFill>
                <a:schemeClr val="tx1"/>
              </a:solidFill>
            </a:rPr>
            <a:t>qoozimamiu21@gmail.com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09b6707e67eab40/Desktop/Health%20Care%20DB/Mediplus%20Care-DESKTOP-PRG017E.xlsx" TargetMode="External"/><Relationship Id="rId1" Type="http://schemas.openxmlformats.org/officeDocument/2006/relationships/externalLinkPath" Target="https://d.docs.live.net/b09b6707e67eab40/Desktop/Health%20Care%20DB/Mediplus%20Care-DESKTOP-PRG017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mAppointmentStatus"/>
      <sheetName val="FactAppointments"/>
      <sheetName val="DimTreatment"/>
      <sheetName val="DimDate"/>
      <sheetName val="DimDepartment"/>
      <sheetName val="DimDiagnosis"/>
      <sheetName val="DimDoctor"/>
      <sheetName val="DimPatient"/>
      <sheetName val="DimPaymentStatus"/>
      <sheetName val="DimPaymentMethod"/>
      <sheetName val="FactTreatments"/>
      <sheetName val="FactBilling"/>
      <sheetName val="Analysis"/>
      <sheetName val="Dashboard"/>
      <sheetName val="Report"/>
      <sheetName val="Mediplus Care-DESKTOP-PRG017E"/>
    </sheetNames>
    <definedNames>
      <definedName name="DimDate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EF56A-C119-45DE-8DA9-BCAA3B79803D}" name="Table2" displayName="Table2" ref="A1:J166" totalsRowShown="0">
  <autoFilter ref="A1:J166" xr:uid="{3BDEF56A-C119-45DE-8DA9-BCAA3B79803D}"/>
  <tableColumns count="10">
    <tableColumn id="22" xr3:uid="{280E7741-38E0-4F39-B02A-CABE442E67CA}" name="Data ID"/>
    <tableColumn id="21" xr3:uid="{F1F0562E-CC76-4AAB-89A3-C1462AF1C9CB}" name="Research Area"/>
    <tableColumn id="14" xr3:uid="{9628ED33-8BB1-440C-9042-D041F4256981}" name="Indicator"/>
    <tableColumn id="15" xr3:uid="{2D196323-15FA-4E75-A87F-2F789C6BAE47}" name="Location"/>
    <tableColumn id="13" xr3:uid="{1E92AA53-5A27-402F-B70A-ED52869C3711}" name="Period" dataDxfId="28"/>
    <tableColumn id="12" xr3:uid="{578CEBF4-27B4-40EF-A5FA-32D394F02E7B}" name="Value" dataDxfId="27" dataCellStyle="Currency"/>
    <tableColumn id="23" xr3:uid="{CE901A5C-E2E5-47C9-8552-4DBCFB30DD76}" name="Numeric?" dataDxfId="26">
      <calculatedColumnFormula>IF(ISNUMBER(F2),"Yes","No")</calculatedColumnFormula>
    </tableColumn>
    <tableColumn id="17" xr3:uid="{BF6369C1-0B4E-4A07-8F69-2C7354A1B9A5}" name="Unit"/>
    <tableColumn id="20" xr3:uid="{0C0A690B-8EEB-48E5-B21E-D72AA2A0F514}" name="Source"/>
    <tableColumn id="19" xr3:uid="{ADB8D415-68F2-4D74-B23E-6E9F28D61305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7D454-18E8-4247-910C-AD8E95192F1C}" name="Table3" displayName="Table3" ref="A1:J22" totalsRowShown="0" dataDxfId="25" dataCellStyle="Percent">
  <autoFilter ref="A1:J22" xr:uid="{C937D454-18E8-4247-910C-AD8E95192F1C}"/>
  <tableColumns count="10">
    <tableColumn id="1" xr3:uid="{2C6464D9-0606-40BE-A239-F63903D8DF6A}" name="Location"/>
    <tableColumn id="2" xr3:uid="{016962DF-3879-48F7-A2A3-1E17C8F110D0}" name="Unit"/>
    <tableColumn id="3" xr3:uid="{EC03E348-5508-449E-ACB7-8C8F4864B1CC}" name="2025 Rent (Average)" dataDxfId="24">
      <calculatedColumnFormula>AVERAGEIFS('Clean Data'!$F:$F, 'Clean Data'!$B:$B, "Pricing", 'Clean Data'!$C:$C, B2&amp;" rent", 'Clean Data'!$D:$D, A2, 'Clean Data'!$E:$E, 2025)</calculatedColumnFormula>
    </tableColumn>
    <tableColumn id="4" xr3:uid="{3BE2FF81-0D2C-4675-A7B2-0C1CDD1A9AB4}" name="2026 Rent (Average)" dataDxfId="23">
      <calculatedColumnFormula>AVERAGEIFS('Clean Data'!$F:$F, 'Clean Data'!$B:$B, "Pricing", 'Clean Data'!$C:$C, B2&amp;" rent", 'Clean Data'!$D:$D, A2, 'Clean Data'!$E:$E, 2026)</calculatedColumnFormula>
    </tableColumn>
    <tableColumn id="5" xr3:uid="{BA13CE9B-BF0A-4E07-89E1-9A58925B1013}" name="2025 Sale Price (Average)" dataDxfId="22">
      <calculatedColumnFormula>AVERAGEIFS('Clean Data'!$F:$F, 'Clean Data'!$B:$B, "Pricing", 'Clean Data'!$C:$C, B2&amp;" flat sale price", 'Clean Data'!$D:$D, A2, 'Clean Data'!$E:$E, 2025)</calculatedColumnFormula>
    </tableColumn>
    <tableColumn id="6" xr3:uid="{068A293A-6395-46EF-9629-B9B1DBE30354}" name="2026 Sale Price (Average)" dataDxfId="21">
      <calculatedColumnFormula>AVERAGEIFS('Clean Data'!$F:$F, 'Clean Data'!$B:$B, "Pricing", 'Clean Data'!$C:$C, B2&amp;" flat sale price", 'Clean Data'!$D:$D, A2, 'Clean Data'!$E:$E, 2026)</calculatedColumnFormula>
    </tableColumn>
    <tableColumn id="7" xr3:uid="{C3652D5D-2A19-4404-907A-0AA67FF472AE}" name="YoY Rent Growth" dataDxfId="20" dataCellStyle="Percent">
      <calculatedColumnFormula>IFERROR((D2-C2)/C2, "")</calculatedColumnFormula>
    </tableColumn>
    <tableColumn id="8" xr3:uid="{CDCEAEAB-61F1-42A5-9151-C348DA6E4899}" name="YoY Price Growth" dataDxfId="19" dataCellStyle="Percent">
      <calculatedColumnFormula>IFERROR((F2-E2)/E2, "")</calculatedColumnFormula>
    </tableColumn>
    <tableColumn id="9" xr3:uid="{E599905E-700F-4468-B95A-A1A4BED518A5}" name="Gross Rental Yield (2026, Before Expenses)" dataDxfId="18" dataCellStyle="Percent">
      <calculatedColumnFormula>IFERROR(D2/F2, "")</calculatedColumnFormula>
    </tableColumn>
    <tableColumn id="10" xr3:uid="{8CE352E9-4334-4120-BD8C-E9BCB5E410EF}" name="Price-to-Rent Ratio (2026)" dataDxfId="17">
      <calculatedColumnFormula>IFERROR(F2/D2,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594B5F-E7AE-4FE9-9DB1-14FC9F8E8E37}" name="Table4" displayName="Table4" ref="A25:B33" totalsRowShown="0">
  <autoFilter ref="A25:B33" xr:uid="{0F594B5F-E7AE-4FE9-9DB1-14FC9F8E8E37}"/>
  <tableColumns count="2">
    <tableColumn id="1" xr3:uid="{39FFEABA-D318-4A74-A738-B4C8EA0616D9}" name="Metric"/>
    <tableColumn id="2" xr3:uid="{10F7D5CB-E5C8-44B2-866D-E29FA9EAF0C7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44D1D0-B06C-499D-A2C5-51D563970730}" name="Table5" displayName="Table5" ref="A36:D43" totalsRowShown="0">
  <autoFilter ref="A36:D43" xr:uid="{9144D1D0-B06C-499D-A2C5-51D563970730}"/>
  <tableColumns count="4">
    <tableColumn id="1" xr3:uid="{AEFC66D5-3CAB-4A4E-B533-15E5C8B934C2}" name="Location"/>
    <tableColumn id="2" xr3:uid="{2EB7C192-A7AD-4288-9A5F-6252F01BF2CE}" name="1-bed Avg Rent" dataDxfId="16"/>
    <tableColumn id="3" xr3:uid="{E976E93D-56C2-4667-85E9-1B7C32071696}" name="2-bed Avg Rent" dataDxfId="15"/>
    <tableColumn id="4" xr3:uid="{99BD249D-C8F8-48FD-B518-1CFD80571966}" name="3-bed Avg Rent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558313-0614-49E7-ABF3-452DDB489EB4}" name="Table57" displayName="Table57" ref="A47:D54" totalsRowShown="0">
  <autoFilter ref="A47:D54" xr:uid="{3B558313-0614-49E7-ABF3-452DDB489EB4}"/>
  <sortState xmlns:xlrd2="http://schemas.microsoft.com/office/spreadsheetml/2017/richdata2" ref="A48:D54">
    <sortCondition ref="A48:A54"/>
  </sortState>
  <tableColumns count="4">
    <tableColumn id="1" xr3:uid="{7ACE362D-8958-4C62-8D6F-B56F39E145C4}" name="Location"/>
    <tableColumn id="2" xr3:uid="{9DD77D4F-DC69-4F2F-A407-96C33F862F3D}" name="1-bed Avg Rent" dataDxfId="13"/>
    <tableColumn id="3" xr3:uid="{E16F82CB-46DB-4C6F-90C1-0A6686F489F5}" name="2-bed Avg Rent" dataDxfId="12"/>
    <tableColumn id="4" xr3:uid="{B6908B6F-3AF4-4C80-9EAD-B8B356F1C347}" name="3-bed Avg Rent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6AA637-3042-46E2-9518-B91DC2FDDF88}" name="Table7" displayName="Table7" ref="A57:D64" totalsRowShown="0" headerRowBorderDxfId="10" tableBorderDxfId="9">
  <autoFilter ref="A57:D64" xr:uid="{986AA637-3042-46E2-9518-B91DC2FDDF88}"/>
  <tableColumns count="4">
    <tableColumn id="1" xr3:uid="{DC726256-8A52-4AEF-ADAC-E95C3B5E5D0D}" name="Location" dataDxfId="8"/>
    <tableColumn id="2" xr3:uid="{5520E722-6B88-40BD-87E9-CAA2167D7009}" name="2025" dataDxfId="7"/>
    <tableColumn id="3" xr3:uid="{AFF9830A-A324-44C0-9F7A-0F19CFF4EC0F}" name="2026" dataDxfId="6"/>
    <tableColumn id="5" xr3:uid="{EC214355-2313-43AE-8830-3E476D19126D}" name="Rent Growth %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06A71-7C99-4D63-B97F-720067049386}" name="Table1" displayName="Table1" ref="A67:E74" totalsRowShown="0" tableBorderDxfId="5">
  <autoFilter ref="A67:E74" xr:uid="{BA906A71-7C99-4D63-B97F-720067049386}"/>
  <sortState xmlns:xlrd2="http://schemas.microsoft.com/office/spreadsheetml/2017/richdata2" ref="A68:C74">
    <sortCondition ref="B68:B74"/>
  </sortState>
  <tableColumns count="5">
    <tableColumn id="1" xr3:uid="{AA58DB75-0249-43FB-811D-394FCAC9520C}" name="Location" dataDxfId="4"/>
    <tableColumn id="2" xr3:uid="{801E6FA9-7E99-404E-B52C-E9E23122CEC8}" name="Gross Yield" dataDxfId="3"/>
    <tableColumn id="3" xr3:uid="{F0A3EE8D-60E5-4884-86FC-6E2F4348D6CF}" name="Price-Rent-Ratio" dataDxfId="2"/>
    <tableColumn id="4" xr3:uid="{E692AFAF-959D-4098-AEE9-A3CD327B64B8}" name="Location2" dataDxfId="1"/>
    <tableColumn id="5" xr3:uid="{0F9FB3B4-4740-4340-88EB-028B1F751E0A}" name="Price-Rent-Ratio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irametrics.com/2026/01/01/naira-ends-2025-at-n1429-first-annual-gain-in-13-years/" TargetMode="External"/><Relationship Id="rId21" Type="http://schemas.openxmlformats.org/officeDocument/2006/relationships/hyperlink" Target="https://www.zikanpropsolutions.com/post/the-2026-mainland-renaissance-yaba-surulere-and-the-red-line-effect" TargetMode="External"/><Relationship Id="rId42" Type="http://schemas.openxmlformats.org/officeDocument/2006/relationships/hyperlink" Target="https://nigeriapropertycentre.com/market-trends/average-prices/for-rent/flats-apartments/lagos/ajah?bedrooms=3" TargetMode="External"/><Relationship Id="rId63" Type="http://schemas.openxmlformats.org/officeDocument/2006/relationships/hyperlink" Target="https://nigeriapropertycentre.com/market-trends/average-prices/for-sale/flats-apartments/lagos/ikeja?bedrooms=3" TargetMode="External"/><Relationship Id="rId84" Type="http://schemas.openxmlformats.org/officeDocument/2006/relationships/hyperlink" Target="https://nigeriapropertycentre.com/market-trends/average-prices/for-sale/flats-apartments/lagos/ajah?bedrooms=3" TargetMode="External"/><Relationship Id="rId16" Type="http://schemas.openxmlformats.org/officeDocument/2006/relationships/hyperlink" Target="https://nigeriapropertycentre.com/market-trends/average-prices/for-rent/flats-apartments/lagos/gbagada?bedrooms=1" TargetMode="External"/><Relationship Id="rId107" Type="http://schemas.openxmlformats.org/officeDocument/2006/relationships/hyperlink" Target="https://www.theguardian.com/global-development/2026/apr/15/lagos-rent-crisis-wages-housing-growth" TargetMode="External"/><Relationship Id="rId11" Type="http://schemas.openxmlformats.org/officeDocument/2006/relationships/hyperlink" Target="https://nigeriapropertycentre.com/market-trends/average-prices/for-rent/flats-apartments/lagos/surulere?bedrooms=3" TargetMode="External"/><Relationship Id="rId32" Type="http://schemas.openxmlformats.org/officeDocument/2006/relationships/hyperlink" Target="https://nigeriapropertycentre.com/market-trends/average-prices/for-rent/flats-apartments/lagos/ikeja?bedrooms=1" TargetMode="External"/><Relationship Id="rId37" Type="http://schemas.openxmlformats.org/officeDocument/2006/relationships/hyperlink" Target="https://nigeriapropertycentre.com/market-trends/average-prices/for-rent/flats-apartments/lagos/ajah?bedrooms=1" TargetMode="External"/><Relationship Id="rId53" Type="http://schemas.openxmlformats.org/officeDocument/2006/relationships/hyperlink" Target="https://nigeriapropertycentre.com/market-trends/average-prices/for-sale/houses/lagos/surulere?bedrooms=1" TargetMode="External"/><Relationship Id="rId58" Type="http://schemas.openxmlformats.org/officeDocument/2006/relationships/hyperlink" Target="https://nigeriapropertycentre.com/market-trends/average-prices/for-sale/flats-apartments/lagos/ikeja?bedrooms=2" TargetMode="External"/><Relationship Id="rId74" Type="http://schemas.openxmlformats.org/officeDocument/2006/relationships/hyperlink" Target="https://nigeriapropertycentre.com/market-trends/average-prices/for-sale/houses/lagos/lekki?bedrooms=1" TargetMode="External"/><Relationship Id="rId79" Type="http://schemas.openxmlformats.org/officeDocument/2006/relationships/hyperlink" Target="https://nigeriapropertycentre.com/market-trends/average-prices/for-sale/flats-apartments/lagos/ajah?bedrooms=1" TargetMode="External"/><Relationship Id="rId102" Type="http://schemas.openxmlformats.org/officeDocument/2006/relationships/hyperlink" Target="https://businessday.ng/real-estate/article/no-respite-for-buyers-renters-as-lagos-housing-deficit-rises-15/" TargetMode="External"/><Relationship Id="rId123" Type="http://schemas.openxmlformats.org/officeDocument/2006/relationships/hyperlink" Target="https://lasrera.lagosstate.gov.ng/resources/L28_LagosStateEstateAgencyRegulatoryAut_p04.pdf" TargetMode="External"/><Relationship Id="rId128" Type="http://schemas.openxmlformats.org/officeDocument/2006/relationships/hyperlink" Target="https://businessday.ng/news/article/businessday-confab-fg-rolls-out-housing-reforms-orders-40-nhf-mortgage-disbursement/" TargetMode="External"/><Relationship Id="rId5" Type="http://schemas.openxmlformats.org/officeDocument/2006/relationships/hyperlink" Target="https://nigeriapropertycentre.com/market-trends/average-prices/for-rent/flats-apartments/lagos/yaba?bedrooms=3" TargetMode="External"/><Relationship Id="rId90" Type="http://schemas.openxmlformats.org/officeDocument/2006/relationships/hyperlink" Target="https://www.thecable.ng/between-rent-and-reptiles-lagos-housing-tragedy/" TargetMode="External"/><Relationship Id="rId95" Type="http://schemas.openxmlformats.org/officeDocument/2006/relationships/hyperlink" Target="https://businessday.ng/real-estate/article/reports-position-nigerias-lagos-housing-deficits-as-investment-opportunities/" TargetMode="External"/><Relationship Id="rId22" Type="http://schemas.openxmlformats.org/officeDocument/2006/relationships/hyperlink" Target="https://www.zikanpropsolutions.com/post/the-2026-mainland-renaissance-yaba-surulere-and-the-red-line-effect" TargetMode="External"/><Relationship Id="rId27" Type="http://schemas.openxmlformats.org/officeDocument/2006/relationships/hyperlink" Target="https://nigeriapropertycentre.com/market-trends/average-prices/for-rent/flats-apartments/lagos/lekki?bedrooms=2" TargetMode="External"/><Relationship Id="rId43" Type="http://schemas.openxmlformats.org/officeDocument/2006/relationships/hyperlink" Target="https://nigeriapropertycentre.com/market-trends/average-prices/for-rent/flats-apartments/lagos/maryland?bedrooms=1" TargetMode="External"/><Relationship Id="rId48" Type="http://schemas.openxmlformats.org/officeDocument/2006/relationships/hyperlink" Target="https://nigeriapropertycentre.com/market-trends/average-prices/for-rent/flats-apartments/lagos/maryland?bedrooms=3" TargetMode="External"/><Relationship Id="rId64" Type="http://schemas.openxmlformats.org/officeDocument/2006/relationships/hyperlink" Target="https://nigeriapropertycentre.com/market-trends/average-prices/for-sale/flats-apartments/lagos/ikeja?bedrooms=3" TargetMode="External"/><Relationship Id="rId69" Type="http://schemas.openxmlformats.org/officeDocument/2006/relationships/hyperlink" Target="https://nigeriapropertycentre.com/market-trends/average-prices/for-sale/flats-apartments/lagos/gbagada?bedrooms=2" TargetMode="External"/><Relationship Id="rId113" Type="http://schemas.openxmlformats.org/officeDocument/2006/relationships/hyperlink" Target="https://www.macrotrends.net/datasets/global-metrics/countries/nga/nigeria/inflation-rate-cpi" TargetMode="External"/><Relationship Id="rId118" Type="http://schemas.openxmlformats.org/officeDocument/2006/relationships/hyperlink" Target="https://nairametrics.com/2026/01/01/naira-ends-2025-at-n1429-first-annual-gain-in-13-years/" TargetMode="External"/><Relationship Id="rId134" Type="http://schemas.openxmlformats.org/officeDocument/2006/relationships/printerSettings" Target="../printerSettings/printerSettings1.bin"/><Relationship Id="rId80" Type="http://schemas.openxmlformats.org/officeDocument/2006/relationships/hyperlink" Target="https://nigeriapropertycentre.com/market-trends/average-prices/for-sale/flats-apartments/lagos/ajah?bedrooms=1" TargetMode="External"/><Relationship Id="rId85" Type="http://schemas.openxmlformats.org/officeDocument/2006/relationships/hyperlink" Target="https://nigeriapropertycentre.com/market-trends/average-prices/for-sale/flats-apartments/lagos/maryland?bedrooms=1" TargetMode="External"/><Relationship Id="rId12" Type="http://schemas.openxmlformats.org/officeDocument/2006/relationships/hyperlink" Target="https://nigeriapropertycentre.com/market-trends/average-prices/for-rent/flats-apartments/lagos/surulere?bedrooms=1" TargetMode="External"/><Relationship Id="rId17" Type="http://schemas.openxmlformats.org/officeDocument/2006/relationships/hyperlink" Target="https://nigeriapropertycentre.com/market-trends/average-prices/for-rent/flats-apartments/lagos/gbagada?bedrooms=2" TargetMode="External"/><Relationship Id="rId33" Type="http://schemas.openxmlformats.org/officeDocument/2006/relationships/hyperlink" Target="https://nigeriapropertycentre.com/market-trends/average-prices/for-rent/flats-apartments/lagos/ikeja?bedrooms=2" TargetMode="External"/><Relationship Id="rId38" Type="http://schemas.openxmlformats.org/officeDocument/2006/relationships/hyperlink" Target="https://nigeriapropertycentre.com/market-trends/average-prices/for-rent/flats-apartments/lagos/ajah?bedrooms=1" TargetMode="External"/><Relationship Id="rId59" Type="http://schemas.openxmlformats.org/officeDocument/2006/relationships/hyperlink" Target="https://nigeriapropertycentre.com/market-trends/average-prices/for-sale/flats-apartments/lagos/yaba?bedrooms=2" TargetMode="External"/><Relationship Id="rId103" Type="http://schemas.openxmlformats.org/officeDocument/2006/relationships/hyperlink" Target="https://businessday.ng/real-estate/article/no-respite-for-buyers-renters-as-lagos-housing-deficit-rises-15/" TargetMode="External"/><Relationship Id="rId108" Type="http://schemas.openxmlformats.org/officeDocument/2006/relationships/hyperlink" Target="https://businessday.ng/real-estate/article/reports-position-nigerias-lagos-housing-deficits-as-investment-opportunities/" TargetMode="External"/><Relationship Id="rId124" Type="http://schemas.openxmlformats.org/officeDocument/2006/relationships/hyperlink" Target="https://www.templars-law.com/app/uploads/2025/12/The-Lagos-State-Tenancy-Bill-2025.pdf" TargetMode="External"/><Relationship Id="rId129" Type="http://schemas.openxmlformats.org/officeDocument/2006/relationships/hyperlink" Target="https://businessday.ng/news/article/businessday-confab-fg-rolls-out-housing-reforms-orders-40-nhf-mortgage-disbursement/" TargetMode="External"/><Relationship Id="rId54" Type="http://schemas.openxmlformats.org/officeDocument/2006/relationships/hyperlink" Target="https://nigeriapropertycentre.com/market-trends/average-prices/for-sale/houses/lagos/surulere?bedrooms=1" TargetMode="External"/><Relationship Id="rId70" Type="http://schemas.openxmlformats.org/officeDocument/2006/relationships/hyperlink" Target="https://nigeriapropertycentre.com/market-trends/average-prices/for-sale/flats-apartments/lagos/gbagada?bedrooms=3" TargetMode="External"/><Relationship Id="rId75" Type="http://schemas.openxmlformats.org/officeDocument/2006/relationships/hyperlink" Target="https://nigeriapropertycentre.com/market-trends/average-prices/for-sale/houses/lagos/lekki?bedrooms=2" TargetMode="External"/><Relationship Id="rId91" Type="http://schemas.openxmlformats.org/officeDocument/2006/relationships/hyperlink" Target="https://www.thecable.ng/between-rent-and-reptiles-lagos-housing-tragedy/" TargetMode="External"/><Relationship Id="rId96" Type="http://schemas.openxmlformats.org/officeDocument/2006/relationships/hyperlink" Target="https://businessday.ng/real-estate/article/beyond-population-reasons-lagos-is-nigerias-epicentre-of-rental-demand/" TargetMode="External"/><Relationship Id="rId1" Type="http://schemas.openxmlformats.org/officeDocument/2006/relationships/hyperlink" Target="https://nigeriapropertycentre.com/market-trends/average-prices/for-rent/flats-apartments/lagos/yaba?bedrooms=1" TargetMode="External"/><Relationship Id="rId6" Type="http://schemas.openxmlformats.org/officeDocument/2006/relationships/hyperlink" Target="https://nigeriapropertycentre.com/market-trends/average-prices/for-rent/flats-apartments/lagos/yaba?bedrooms=3" TargetMode="External"/><Relationship Id="rId23" Type="http://schemas.openxmlformats.org/officeDocument/2006/relationships/hyperlink" Target="https://www.zikanpropsolutions.com/post/the-2026-mainland-renaissance-yaba-surulere-and-the-red-line-effect" TargetMode="External"/><Relationship Id="rId28" Type="http://schemas.openxmlformats.org/officeDocument/2006/relationships/hyperlink" Target="https://nigeriapropertycentre.com/market-trends/average-prices/for-rent/flats-apartments/lagos/lekki?bedrooms=2" TargetMode="External"/><Relationship Id="rId49" Type="http://schemas.openxmlformats.org/officeDocument/2006/relationships/hyperlink" Target="https://nigeriapropertycentre.com/market-trends/average-prices/for-sale/flats-apartments/lagos/yaba?bedrooms=1" TargetMode="External"/><Relationship Id="rId114" Type="http://schemas.openxmlformats.org/officeDocument/2006/relationships/hyperlink" Target="https://www.macrotrends.net/datasets/global-metrics/countries/nga/nigeria/inflation-rate-cpi" TargetMode="External"/><Relationship Id="rId119" Type="http://schemas.openxmlformats.org/officeDocument/2006/relationships/hyperlink" Target="https://www.thisdaylive.com/2026/02/23/mirroring-monetary-policy-maximum-lending-rate-droped-to-29-32-in-december/" TargetMode="External"/><Relationship Id="rId44" Type="http://schemas.openxmlformats.org/officeDocument/2006/relationships/hyperlink" Target="https://nigeriapropertycentre.com/market-trends/average-prices/for-rent/flats-apartments/lagos/maryland?bedrooms=1" TargetMode="External"/><Relationship Id="rId60" Type="http://schemas.openxmlformats.org/officeDocument/2006/relationships/hyperlink" Target="https://nigeriapropertycentre.com/market-trends/average-prices/for-sale/flats-apartments/lagos/yaba?bedrooms=2" TargetMode="External"/><Relationship Id="rId65" Type="http://schemas.openxmlformats.org/officeDocument/2006/relationships/hyperlink" Target="https://nigeriapropertycentre.com/market-trends/average-prices/for-sale/houses/lagos/surulere?bedrooms=3" TargetMode="External"/><Relationship Id="rId81" Type="http://schemas.openxmlformats.org/officeDocument/2006/relationships/hyperlink" Target="https://nigeriapropertycentre.com/market-trends/average-prices/for-sale/flats-apartments/lagos/ajah?bedrooms=2" TargetMode="External"/><Relationship Id="rId86" Type="http://schemas.openxmlformats.org/officeDocument/2006/relationships/hyperlink" Target="https://nigeriapropertycentre.com/market-trends/average-prices/for-sale/flats-apartments/lagos/maryland?bedrooms=2" TargetMode="External"/><Relationship Id="rId130" Type="http://schemas.openxmlformats.org/officeDocument/2006/relationships/hyperlink" Target="https://punchng.com/lagos-tenancy-bill-mandates-court-orders-for-tenant-evictions/" TargetMode="External"/><Relationship Id="rId13" Type="http://schemas.openxmlformats.org/officeDocument/2006/relationships/hyperlink" Target="https://nigeriapropertycentre.com/market-trends/average-prices/for-rent/flats-apartments/lagos/surulere?bedrooms=3" TargetMode="External"/><Relationship Id="rId18" Type="http://schemas.openxmlformats.org/officeDocument/2006/relationships/hyperlink" Target="https://nigeriapropertycentre.com/market-trends/average-prices/for-rent/flats-apartments/lagos/gbagada?bedrooms=2" TargetMode="External"/><Relationship Id="rId39" Type="http://schemas.openxmlformats.org/officeDocument/2006/relationships/hyperlink" Target="https://nigeriapropertycentre.com/market-trends/average-prices/for-rent/flats-apartments/lagos/ajah?bedrooms=2" TargetMode="External"/><Relationship Id="rId109" Type="http://schemas.openxmlformats.org/officeDocument/2006/relationships/hyperlink" Target="https://businessday.ng/real-estate/article/reports-position-nigerias-lagos-housing-deficits-as-investment-opportunities/" TargetMode="External"/><Relationship Id="rId34" Type="http://schemas.openxmlformats.org/officeDocument/2006/relationships/hyperlink" Target="https://nigeriapropertycentre.com/market-trends/average-prices/for-rent/flats-apartments/lagos/ikeja?bedrooms=2" TargetMode="External"/><Relationship Id="rId50" Type="http://schemas.openxmlformats.org/officeDocument/2006/relationships/hyperlink" Target="https://nigeriapropertycentre.com/market-trends/average-prices/for-sale/flats-apartments/lagos/yaba?bedrooms=1" TargetMode="External"/><Relationship Id="rId55" Type="http://schemas.openxmlformats.org/officeDocument/2006/relationships/hyperlink" Target="https://nigeriapropertycentre.com/market-trends/average-prices/for-sale/flats-apartments/lagos/ikeja?bedrooms=1" TargetMode="External"/><Relationship Id="rId76" Type="http://schemas.openxmlformats.org/officeDocument/2006/relationships/hyperlink" Target="https://nigeriapropertycentre.com/market-trends/average-prices/for-sale/houses/lagos/lekki?bedrooms=2" TargetMode="External"/><Relationship Id="rId97" Type="http://schemas.openxmlformats.org/officeDocument/2006/relationships/hyperlink" Target="https://businessday.ng/real-estate/article/beyond-population-reasons-lagos-is-nigerias-epicentre-of-rental-demand/" TargetMode="External"/><Relationship Id="rId104" Type="http://schemas.openxmlformats.org/officeDocument/2006/relationships/hyperlink" Target="https://businessday.ng/real-estate/article/no-respite-for-buyers-renters-as-lagos-housing-deficit-rises-15/" TargetMode="External"/><Relationship Id="rId120" Type="http://schemas.openxmlformats.org/officeDocument/2006/relationships/hyperlink" Target="https://www.thisdaylive.com/2026/02/23/mirroring-monetary-policy-maximum-lending-rate-droped-to-29-32-in-december/" TargetMode="External"/><Relationship Id="rId125" Type="http://schemas.openxmlformats.org/officeDocument/2006/relationships/hyperlink" Target="https://www.templars-law.com/app/uploads/2025/12/The-Lagos-State-Tenancy-Bill-2025.pdf" TargetMode="External"/><Relationship Id="rId7" Type="http://schemas.openxmlformats.org/officeDocument/2006/relationships/hyperlink" Target="https://www.zikanpropsolutions.com/post/the-2026-mainland-renaissance-yaba-surulere-and-the-red-line-effect" TargetMode="External"/><Relationship Id="rId71" Type="http://schemas.openxmlformats.org/officeDocument/2006/relationships/hyperlink" Target="https://nigeriapropertycentre.com/market-trends/average-prices/for-sale/flats-apartments/lagos/gbagada?bedrooms=3" TargetMode="External"/><Relationship Id="rId92" Type="http://schemas.openxmlformats.org/officeDocument/2006/relationships/hyperlink" Target="https://www.thecable.ng/between-rent-and-reptiles-lagos-housing-tragedy/" TargetMode="External"/><Relationship Id="rId2" Type="http://schemas.openxmlformats.org/officeDocument/2006/relationships/hyperlink" Target="https://nigeriapropertycentre.com/market-trends/average-prices/for-rent/flats-apartments/lagos/yaba?bedrooms=1" TargetMode="External"/><Relationship Id="rId29" Type="http://schemas.openxmlformats.org/officeDocument/2006/relationships/hyperlink" Target="https://nigeriapropertycentre.com/market-trends/average-prices/for-rent/flats-apartments/lagos/lekki?bedrooms=3" TargetMode="External"/><Relationship Id="rId24" Type="http://schemas.openxmlformats.org/officeDocument/2006/relationships/hyperlink" Target="https://www.zikanpropsolutions.com/post/the-2026-mainland-renaissance-yaba-surulere-and-the-red-line-effect" TargetMode="External"/><Relationship Id="rId40" Type="http://schemas.openxmlformats.org/officeDocument/2006/relationships/hyperlink" Target="https://nigeriapropertycentre.com/market-trends/average-prices/for-rent/flats-apartments/lagos/ajah?bedrooms=2" TargetMode="External"/><Relationship Id="rId45" Type="http://schemas.openxmlformats.org/officeDocument/2006/relationships/hyperlink" Target="https://nigeriapropertycentre.com/market-trends/average-prices/for-rent/flats-apartments/lagos/maryland?bedrooms=2" TargetMode="External"/><Relationship Id="rId66" Type="http://schemas.openxmlformats.org/officeDocument/2006/relationships/hyperlink" Target="https://nigeriapropertycentre.com/market-trends/average-prices/for-sale/houses/lagos/surulere?bedrooms=3" TargetMode="External"/><Relationship Id="rId87" Type="http://schemas.openxmlformats.org/officeDocument/2006/relationships/hyperlink" Target="https://nigeriapropertycentre.com/market-trends/average-prices/for-sale/flats-apartments/lagos/maryland?bedrooms=2" TargetMode="External"/><Relationship Id="rId110" Type="http://schemas.openxmlformats.org/officeDocument/2006/relationships/hyperlink" Target="https://punchng.com/lagos-housing-supply-lags-despite-34800-units-pipeline/" TargetMode="External"/><Relationship Id="rId115" Type="http://schemas.openxmlformats.org/officeDocument/2006/relationships/hyperlink" Target="https://historysaid.com/nigeria/gdp-growth/average/" TargetMode="External"/><Relationship Id="rId131" Type="http://schemas.openxmlformats.org/officeDocument/2006/relationships/hyperlink" Target="https://punchng.com/lagos-tenancy-bill-mandates-court-orders-for-tenant-evictions/" TargetMode="External"/><Relationship Id="rId61" Type="http://schemas.openxmlformats.org/officeDocument/2006/relationships/hyperlink" Target="https://nigeriapropertycentre.com/market-trends/average-prices/for-sale/flats-apartments/lagos/yaba?bedrooms=3" TargetMode="External"/><Relationship Id="rId82" Type="http://schemas.openxmlformats.org/officeDocument/2006/relationships/hyperlink" Target="https://nigeriapropertycentre.com/market-trends/average-prices/for-sale/flats-apartments/lagos/ajah?bedrooms=2" TargetMode="External"/><Relationship Id="rId19" Type="http://schemas.openxmlformats.org/officeDocument/2006/relationships/hyperlink" Target="https://nigeriapropertycentre.com/market-trends/average-prices/for-rent/flats-apartments/lagos/gbagada?bedrooms=3" TargetMode="External"/><Relationship Id="rId14" Type="http://schemas.openxmlformats.org/officeDocument/2006/relationships/hyperlink" Target="https://nigeriapropertycentre.com/market-trends/average-prices/for-rent/flats-apartments/lagos/surulere?bedrooms=2" TargetMode="External"/><Relationship Id="rId30" Type="http://schemas.openxmlformats.org/officeDocument/2006/relationships/hyperlink" Target="https://nigeriapropertycentre.com/market-trends/average-prices/for-rent/flats-apartments/lagos/lekki?bedrooms=3" TargetMode="External"/><Relationship Id="rId35" Type="http://schemas.openxmlformats.org/officeDocument/2006/relationships/hyperlink" Target="https://nigeriapropertycentre.com/market-trends/average-prices/for-rent/flats-apartments/lagos/ikeja?bedrooms=3" TargetMode="External"/><Relationship Id="rId56" Type="http://schemas.openxmlformats.org/officeDocument/2006/relationships/hyperlink" Target="https://nigeriapropertycentre.com/market-trends/average-prices/for-sale/flats-apartments/lagos/ikeja?bedrooms=1" TargetMode="External"/><Relationship Id="rId77" Type="http://schemas.openxmlformats.org/officeDocument/2006/relationships/hyperlink" Target="https://nigeriapropertycentre.com/market-trends/average-prices/for-sale/houses/lagos/lekki?bedrooms=3" TargetMode="External"/><Relationship Id="rId100" Type="http://schemas.openxmlformats.org/officeDocument/2006/relationships/hyperlink" Target="https://businessday.ng/real-estate/article/beyond-population-reasons-lagos-is-nigerias-epicentre-of-rental-demand/" TargetMode="External"/><Relationship Id="rId105" Type="http://schemas.openxmlformats.org/officeDocument/2006/relationships/hyperlink" Target="https://www.theguardian.com/global-development/2026/apr/15/lagos-rent-crisis-wages-housing-growth" TargetMode="External"/><Relationship Id="rId126" Type="http://schemas.openxmlformats.org/officeDocument/2006/relationships/hyperlink" Target="https://www.dlapiperrealworld.com/law/index.html?c=NG&amp;s=taxation-of-real-estate-sales-and-purchases&amp;t=sale-and-purchase" TargetMode="External"/><Relationship Id="rId8" Type="http://schemas.openxmlformats.org/officeDocument/2006/relationships/hyperlink" Target="https://www.zikanpropsolutions.com/post/the-2026-mainland-renaissance-yaba-surulere-and-the-red-line-effect" TargetMode="External"/><Relationship Id="rId51" Type="http://schemas.openxmlformats.org/officeDocument/2006/relationships/hyperlink" Target="https://nigeriapropertycentre.com/market-trends/average-prices/for-sale/houses/lagos/surulere?bedrooms=2" TargetMode="External"/><Relationship Id="rId72" Type="http://schemas.openxmlformats.org/officeDocument/2006/relationships/hyperlink" Target="https://nigeriapropertycentre.com/market-trends/average-prices/for-sale/flats-apartments/lagos/gbagada?bedrooms=1" TargetMode="External"/><Relationship Id="rId93" Type="http://schemas.openxmlformats.org/officeDocument/2006/relationships/hyperlink" Target="https://www.thecable.ng/between-rent-and-reptiles-lagos-housing-tragedy/" TargetMode="External"/><Relationship Id="rId98" Type="http://schemas.openxmlformats.org/officeDocument/2006/relationships/hyperlink" Target="https://businessday.ng/real-estate/article/beyond-population-reasons-lagos-is-nigerias-epicentre-of-rental-demand/" TargetMode="External"/><Relationship Id="rId121" Type="http://schemas.openxmlformats.org/officeDocument/2006/relationships/hyperlink" Target="https://lasrera.lagosstate.gov.ng/resources/L28_LagosStateEstateAgencyRegulatoryAut_p04.pdf" TargetMode="External"/><Relationship Id="rId3" Type="http://schemas.openxmlformats.org/officeDocument/2006/relationships/hyperlink" Target="https://nigeriapropertycentre.com/market-trends/average-prices/for-rent/flats-apartments/lagos/yaba?bedrooms=2" TargetMode="External"/><Relationship Id="rId25" Type="http://schemas.openxmlformats.org/officeDocument/2006/relationships/hyperlink" Target="https://nigeriapropertycentre.com/market-trends/average-prices/for-rent/flats-apartments/lagos/lekki?bedrooms=1" TargetMode="External"/><Relationship Id="rId46" Type="http://schemas.openxmlformats.org/officeDocument/2006/relationships/hyperlink" Target="https://nigeriapropertycentre.com/market-trends/average-prices/for-rent/flats-apartments/lagos/maryland?bedrooms=2" TargetMode="External"/><Relationship Id="rId67" Type="http://schemas.openxmlformats.org/officeDocument/2006/relationships/hyperlink" Target="https://nigeriapropertycentre.com/market-trends/average-prices/for-sale/flats-apartments/lagos/gbagada?bedrooms=1" TargetMode="External"/><Relationship Id="rId116" Type="http://schemas.openxmlformats.org/officeDocument/2006/relationships/hyperlink" Target="https://historysaid.com/nigeria/gdp-growth/average/" TargetMode="External"/><Relationship Id="rId20" Type="http://schemas.openxmlformats.org/officeDocument/2006/relationships/hyperlink" Target="https://nigeriapropertycentre.com/market-trends/average-prices/for-rent/flats-apartments/lagos/gbagada?bedrooms=3" TargetMode="External"/><Relationship Id="rId41" Type="http://schemas.openxmlformats.org/officeDocument/2006/relationships/hyperlink" Target="https://nigeriapropertycentre.com/market-trends/average-prices/for-rent/flats-apartments/lagos/ajah?bedrooms=3" TargetMode="External"/><Relationship Id="rId62" Type="http://schemas.openxmlformats.org/officeDocument/2006/relationships/hyperlink" Target="https://nigeriapropertycentre.com/market-trends/average-prices/for-sale/flats-apartments/lagos/yaba?bedrooms=3" TargetMode="External"/><Relationship Id="rId83" Type="http://schemas.openxmlformats.org/officeDocument/2006/relationships/hyperlink" Target="https://nigeriapropertycentre.com/market-trends/average-prices/for-sale/flats-apartments/lagos/ajah?bedrooms=3" TargetMode="External"/><Relationship Id="rId88" Type="http://schemas.openxmlformats.org/officeDocument/2006/relationships/hyperlink" Target="https://nigeriapropertycentre.com/market-trends/average-prices/for-sale/flats-apartments/lagos/maryland?bedrooms=3" TargetMode="External"/><Relationship Id="rId111" Type="http://schemas.openxmlformats.org/officeDocument/2006/relationships/hyperlink" Target="https://businessday.ng/companies/article/lagos-housing-gap-widens-as-costly-finance-weak-income-squeeze-developers/" TargetMode="External"/><Relationship Id="rId132" Type="http://schemas.openxmlformats.org/officeDocument/2006/relationships/hyperlink" Target="https://thecitiliving.com/about-us/" TargetMode="External"/><Relationship Id="rId15" Type="http://schemas.openxmlformats.org/officeDocument/2006/relationships/hyperlink" Target="https://nigeriapropertycentre.com/market-trends/average-prices/for-rent/flats-apartments/lagos/gbagada?bedrooms=1" TargetMode="External"/><Relationship Id="rId36" Type="http://schemas.openxmlformats.org/officeDocument/2006/relationships/hyperlink" Target="https://nigeriapropertycentre.com/market-trends/average-prices/for-rent/flats-apartments/lagos/ikeja?bedrooms=3" TargetMode="External"/><Relationship Id="rId57" Type="http://schemas.openxmlformats.org/officeDocument/2006/relationships/hyperlink" Target="https://nigeriapropertycentre.com/market-trends/average-prices/for-sale/flats-apartments/lagos/ikeja?bedrooms=2" TargetMode="External"/><Relationship Id="rId106" Type="http://schemas.openxmlformats.org/officeDocument/2006/relationships/hyperlink" Target="https://businessday.ng/real-estate/article/no-respite-for-buyers-renters-as-lagos-housing-deficit-rises-15/" TargetMode="External"/><Relationship Id="rId127" Type="http://schemas.openxmlformats.org/officeDocument/2006/relationships/hyperlink" Target="https://www.dlapiperrealworld.com/law/index.html?c=NG&amp;s=taxation-of-real-estate-sales-and-purchases&amp;t=sale-and-purchase" TargetMode="External"/><Relationship Id="rId10" Type="http://schemas.openxmlformats.org/officeDocument/2006/relationships/hyperlink" Target="https://nigeriapropertycentre.com/market-trends/average-prices/for-rent/flats-apartments/lagos/surulere?bedrooms=2" TargetMode="External"/><Relationship Id="rId31" Type="http://schemas.openxmlformats.org/officeDocument/2006/relationships/hyperlink" Target="https://nigeriapropertycentre.com/market-trends/average-prices/for-rent/flats-apartments/lagos/ikeja?bedrooms=1" TargetMode="External"/><Relationship Id="rId52" Type="http://schemas.openxmlformats.org/officeDocument/2006/relationships/hyperlink" Target="https://nigeriapropertycentre.com/market-trends/average-prices/for-sale/houses/lagos/surulere?bedrooms=2" TargetMode="External"/><Relationship Id="rId73" Type="http://schemas.openxmlformats.org/officeDocument/2006/relationships/hyperlink" Target="https://nigeriapropertycentre.com/market-trends/average-prices/for-sale/houses/lagos/lekki?bedrooms=1" TargetMode="External"/><Relationship Id="rId78" Type="http://schemas.openxmlformats.org/officeDocument/2006/relationships/hyperlink" Target="https://nigeriapropertycentre.com/market-trends/average-prices/for-sale/houses/lagos/lekki?bedrooms=3" TargetMode="External"/><Relationship Id="rId94" Type="http://schemas.openxmlformats.org/officeDocument/2006/relationships/hyperlink" Target="https://businessday.ng/real-estate/article/reports-position-nigerias-lagos-housing-deficits-as-investment-opportunities/" TargetMode="External"/><Relationship Id="rId99" Type="http://schemas.openxmlformats.org/officeDocument/2006/relationships/hyperlink" Target="https://businessday.ng/real-estate/article/beyond-population-reasons-lagos-is-nigerias-epicentre-of-rental-demand/" TargetMode="External"/><Relationship Id="rId101" Type="http://schemas.openxmlformats.org/officeDocument/2006/relationships/hyperlink" Target="https://businessday.ng/real-estate/article/no-respite-for-buyers-renters-as-lagos-housing-deficit-rises-15/" TargetMode="External"/><Relationship Id="rId122" Type="http://schemas.openxmlformats.org/officeDocument/2006/relationships/hyperlink" Target="https://lasrera.lagosstate.gov.ng/resources/L28_LagosStateEstateAgencyRegulatoryAut_p04.pdf" TargetMode="External"/><Relationship Id="rId4" Type="http://schemas.openxmlformats.org/officeDocument/2006/relationships/hyperlink" Target="https://nigeriapropertycentre.com/market-trends/average-prices/for-rent/flats-apartments/lagos/yaba?bedrooms=2" TargetMode="External"/><Relationship Id="rId9" Type="http://schemas.openxmlformats.org/officeDocument/2006/relationships/hyperlink" Target="https://nigeriapropertycentre.com/market-trends/average-prices/for-rent/flats-apartments/lagos/surulere?bedrooms=1" TargetMode="External"/><Relationship Id="rId26" Type="http://schemas.openxmlformats.org/officeDocument/2006/relationships/hyperlink" Target="https://nigeriapropertycentre.com/market-trends/average-prices/for-rent/flats-apartments/lagos/lekki?bedrooms=1" TargetMode="External"/><Relationship Id="rId47" Type="http://schemas.openxmlformats.org/officeDocument/2006/relationships/hyperlink" Target="https://nigeriapropertycentre.com/market-trends/average-prices/for-rent/flats-apartments/lagos/maryland?bedrooms=3" TargetMode="External"/><Relationship Id="rId68" Type="http://schemas.openxmlformats.org/officeDocument/2006/relationships/hyperlink" Target="https://nigeriapropertycentre.com/market-trends/average-prices/for-sale/flats-apartments/lagos/gbagada?bedrooms=2" TargetMode="External"/><Relationship Id="rId89" Type="http://schemas.openxmlformats.org/officeDocument/2006/relationships/hyperlink" Target="https://nigeriapropertycentre.com/market-trends/average-prices/for-sale/flats-apartments/lagos/maryland?bedrooms=3" TargetMode="External"/><Relationship Id="rId112" Type="http://schemas.openxmlformats.org/officeDocument/2006/relationships/hyperlink" Target="https://businessday.ng/companies/article/lower-income-households-priced-out-of-lagos-housing-market-research/" TargetMode="External"/><Relationship Id="rId133" Type="http://schemas.openxmlformats.org/officeDocument/2006/relationships/hyperlink" Target="https://estateintel.com/reports/residential-pipeline-activity-in-yab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businessday.ng/real-estate/article/no-respite-for-buyers-renters-as-lagos-housing-deficit-rises-15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87D5-323E-450B-9FF7-1D022A3C1C0D}">
  <dimension ref="A1:K170"/>
  <sheetViews>
    <sheetView topLeftCell="A64" zoomScale="93" workbookViewId="0">
      <selection activeCell="A86" sqref="A86:A90"/>
    </sheetView>
  </sheetViews>
  <sheetFormatPr defaultRowHeight="14.4" x14ac:dyDescent="0.3"/>
  <cols>
    <col min="2" max="2" width="14.44140625" bestFit="1" customWidth="1"/>
    <col min="3" max="3" width="26" bestFit="1" customWidth="1"/>
    <col min="4" max="4" width="15.109375" bestFit="1" customWidth="1"/>
    <col min="5" max="5" width="10.21875" bestFit="1" customWidth="1"/>
    <col min="6" max="6" width="14.109375" bestFit="1" customWidth="1"/>
    <col min="7" max="7" width="34.88671875" bestFit="1" customWidth="1"/>
    <col min="8" max="8" width="21.33203125" bestFit="1" customWidth="1"/>
    <col min="9" max="9" width="9.5546875" bestFit="1" customWidth="1"/>
    <col min="10" max="10" width="21.44140625" bestFit="1" customWidth="1"/>
    <col min="11" max="11" width="107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14</v>
      </c>
      <c r="B2" t="s">
        <v>10</v>
      </c>
      <c r="C2" t="s">
        <v>69</v>
      </c>
      <c r="D2" t="s">
        <v>62</v>
      </c>
      <c r="E2" t="s">
        <v>11</v>
      </c>
      <c r="F2">
        <v>2026</v>
      </c>
      <c r="G2">
        <v>2500000</v>
      </c>
      <c r="H2" t="s">
        <v>12</v>
      </c>
      <c r="I2" t="s">
        <v>13</v>
      </c>
      <c r="J2" t="s">
        <v>63</v>
      </c>
      <c r="K2" s="1" t="s">
        <v>72</v>
      </c>
    </row>
    <row r="3" spans="1:11" x14ac:dyDescent="0.3">
      <c r="A3" t="s">
        <v>15</v>
      </c>
      <c r="B3" t="s">
        <v>10</v>
      </c>
      <c r="C3" t="s">
        <v>68</v>
      </c>
      <c r="D3" t="s">
        <v>62</v>
      </c>
      <c r="E3" t="s">
        <v>11</v>
      </c>
      <c r="F3">
        <v>2026</v>
      </c>
      <c r="G3">
        <v>4000000</v>
      </c>
      <c r="H3" t="s">
        <v>12</v>
      </c>
      <c r="I3" t="s">
        <v>13</v>
      </c>
      <c r="J3" t="s">
        <v>63</v>
      </c>
      <c r="K3" s="1" t="s">
        <v>73</v>
      </c>
    </row>
    <row r="4" spans="1:11" x14ac:dyDescent="0.3">
      <c r="A4" t="s">
        <v>16</v>
      </c>
      <c r="B4" t="s">
        <v>10</v>
      </c>
      <c r="C4" t="s">
        <v>70</v>
      </c>
      <c r="D4" t="s">
        <v>62</v>
      </c>
      <c r="E4" t="s">
        <v>11</v>
      </c>
      <c r="F4">
        <v>2026</v>
      </c>
      <c r="G4">
        <v>6000000</v>
      </c>
      <c r="H4" t="s">
        <v>12</v>
      </c>
      <c r="I4" t="s">
        <v>13</v>
      </c>
      <c r="J4" t="s">
        <v>63</v>
      </c>
      <c r="K4" s="1" t="s">
        <v>74</v>
      </c>
    </row>
    <row r="5" spans="1:11" x14ac:dyDescent="0.3">
      <c r="A5" t="s">
        <v>17</v>
      </c>
      <c r="B5" t="s">
        <v>10</v>
      </c>
      <c r="C5" t="s">
        <v>69</v>
      </c>
      <c r="D5" t="s">
        <v>62</v>
      </c>
      <c r="E5" t="s">
        <v>11</v>
      </c>
      <c r="F5">
        <v>2025</v>
      </c>
      <c r="G5">
        <v>1800000</v>
      </c>
      <c r="H5" t="s">
        <v>12</v>
      </c>
      <c r="I5" t="s">
        <v>13</v>
      </c>
      <c r="J5" t="s">
        <v>63</v>
      </c>
      <c r="K5" s="1" t="s">
        <v>72</v>
      </c>
    </row>
    <row r="6" spans="1:11" x14ac:dyDescent="0.3">
      <c r="A6" t="s">
        <v>18</v>
      </c>
      <c r="B6" t="s">
        <v>10</v>
      </c>
      <c r="C6" t="s">
        <v>68</v>
      </c>
      <c r="D6" t="s">
        <v>62</v>
      </c>
      <c r="E6" t="s">
        <v>11</v>
      </c>
      <c r="F6">
        <v>2025</v>
      </c>
      <c r="G6">
        <v>3000000</v>
      </c>
      <c r="H6" t="s">
        <v>12</v>
      </c>
      <c r="I6" t="s">
        <v>13</v>
      </c>
      <c r="J6" t="s">
        <v>63</v>
      </c>
      <c r="K6" s="1" t="s">
        <v>73</v>
      </c>
    </row>
    <row r="7" spans="1:11" x14ac:dyDescent="0.3">
      <c r="A7" t="s">
        <v>19</v>
      </c>
      <c r="B7" t="s">
        <v>10</v>
      </c>
      <c r="C7" t="s">
        <v>70</v>
      </c>
      <c r="D7" t="s">
        <v>62</v>
      </c>
      <c r="E7" t="s">
        <v>11</v>
      </c>
      <c r="F7">
        <v>2025</v>
      </c>
      <c r="G7">
        <v>4700000</v>
      </c>
      <c r="H7" t="s">
        <v>12</v>
      </c>
      <c r="I7" t="s">
        <v>13</v>
      </c>
      <c r="J7" t="s">
        <v>63</v>
      </c>
      <c r="K7" s="1" t="s">
        <v>74</v>
      </c>
    </row>
    <row r="8" spans="1:11" x14ac:dyDescent="0.3">
      <c r="A8" t="s">
        <v>20</v>
      </c>
      <c r="B8" t="s">
        <v>10</v>
      </c>
      <c r="C8" t="s">
        <v>68</v>
      </c>
      <c r="D8" t="s">
        <v>62</v>
      </c>
      <c r="E8" t="s">
        <v>11</v>
      </c>
      <c r="F8">
        <v>2024</v>
      </c>
      <c r="G8">
        <v>2500000</v>
      </c>
      <c r="H8" t="s">
        <v>12</v>
      </c>
      <c r="I8" t="s">
        <v>13</v>
      </c>
      <c r="J8" t="s">
        <v>83</v>
      </c>
      <c r="K8" s="1" t="s">
        <v>84</v>
      </c>
    </row>
    <row r="9" spans="1:11" x14ac:dyDescent="0.3">
      <c r="A9" t="s">
        <v>21</v>
      </c>
      <c r="B9" t="s">
        <v>10</v>
      </c>
      <c r="C9" t="s">
        <v>68</v>
      </c>
      <c r="D9" t="s">
        <v>62</v>
      </c>
      <c r="E9" t="s">
        <v>11</v>
      </c>
      <c r="F9">
        <v>2026</v>
      </c>
      <c r="G9" t="s">
        <v>85</v>
      </c>
      <c r="H9" t="s">
        <v>12</v>
      </c>
      <c r="I9" t="s">
        <v>13</v>
      </c>
      <c r="J9" t="s">
        <v>83</v>
      </c>
      <c r="K9" s="1" t="s">
        <v>84</v>
      </c>
    </row>
    <row r="10" spans="1:11" x14ac:dyDescent="0.3">
      <c r="A10" t="s">
        <v>22</v>
      </c>
      <c r="B10" t="s">
        <v>10</v>
      </c>
      <c r="C10" t="s">
        <v>69</v>
      </c>
      <c r="D10" t="s">
        <v>64</v>
      </c>
      <c r="E10" t="s">
        <v>11</v>
      </c>
      <c r="F10">
        <v>2025</v>
      </c>
      <c r="G10">
        <v>1700000</v>
      </c>
      <c r="H10" t="s">
        <v>12</v>
      </c>
      <c r="I10" t="s">
        <v>13</v>
      </c>
      <c r="J10" t="s">
        <v>63</v>
      </c>
      <c r="K10" s="1" t="s">
        <v>75</v>
      </c>
    </row>
    <row r="11" spans="1:11" x14ac:dyDescent="0.3">
      <c r="A11" t="s">
        <v>23</v>
      </c>
      <c r="B11" t="s">
        <v>10</v>
      </c>
      <c r="C11" t="s">
        <v>68</v>
      </c>
      <c r="D11" t="s">
        <v>64</v>
      </c>
      <c r="E11" t="s">
        <v>11</v>
      </c>
      <c r="F11">
        <v>2025</v>
      </c>
      <c r="G11">
        <v>3200000</v>
      </c>
      <c r="H11" t="s">
        <v>12</v>
      </c>
      <c r="I11" t="s">
        <v>13</v>
      </c>
      <c r="J11" t="s">
        <v>63</v>
      </c>
      <c r="K11" s="1" t="s">
        <v>76</v>
      </c>
    </row>
    <row r="12" spans="1:11" x14ac:dyDescent="0.3">
      <c r="A12" t="s">
        <v>24</v>
      </c>
      <c r="B12" t="s">
        <v>10</v>
      </c>
      <c r="C12" t="s">
        <v>70</v>
      </c>
      <c r="D12" t="s">
        <v>64</v>
      </c>
      <c r="E12" t="s">
        <v>11</v>
      </c>
      <c r="F12">
        <v>2025</v>
      </c>
      <c r="G12">
        <v>4000000</v>
      </c>
      <c r="H12" t="s">
        <v>12</v>
      </c>
      <c r="I12" t="s">
        <v>13</v>
      </c>
      <c r="J12" t="s">
        <v>63</v>
      </c>
      <c r="K12" s="1" t="s">
        <v>77</v>
      </c>
    </row>
    <row r="13" spans="1:11" x14ac:dyDescent="0.3">
      <c r="A13" t="s">
        <v>25</v>
      </c>
      <c r="B13" t="s">
        <v>10</v>
      </c>
      <c r="C13" t="s">
        <v>69</v>
      </c>
      <c r="D13" t="s">
        <v>64</v>
      </c>
      <c r="E13" t="s">
        <v>11</v>
      </c>
      <c r="F13">
        <v>2026</v>
      </c>
      <c r="G13">
        <v>2500000</v>
      </c>
      <c r="H13" t="s">
        <v>12</v>
      </c>
      <c r="I13" t="s">
        <v>13</v>
      </c>
      <c r="J13" t="s">
        <v>63</v>
      </c>
      <c r="K13" s="1" t="s">
        <v>75</v>
      </c>
    </row>
    <row r="14" spans="1:11" x14ac:dyDescent="0.3">
      <c r="A14" t="s">
        <v>26</v>
      </c>
      <c r="B14" t="s">
        <v>10</v>
      </c>
      <c r="C14" t="s">
        <v>68</v>
      </c>
      <c r="D14" t="s">
        <v>64</v>
      </c>
      <c r="E14" t="s">
        <v>11</v>
      </c>
      <c r="F14">
        <v>2026</v>
      </c>
      <c r="G14">
        <v>4000000</v>
      </c>
      <c r="H14" t="s">
        <v>12</v>
      </c>
      <c r="I14" t="s">
        <v>13</v>
      </c>
      <c r="J14" t="s">
        <v>63</v>
      </c>
      <c r="K14" s="1" t="s">
        <v>76</v>
      </c>
    </row>
    <row r="15" spans="1:11" x14ac:dyDescent="0.3">
      <c r="A15" t="s">
        <v>27</v>
      </c>
      <c r="B15" t="s">
        <v>10</v>
      </c>
      <c r="C15" t="s">
        <v>70</v>
      </c>
      <c r="D15" t="s">
        <v>64</v>
      </c>
      <c r="E15" t="s">
        <v>11</v>
      </c>
      <c r="F15">
        <v>2026</v>
      </c>
      <c r="G15">
        <v>5000000</v>
      </c>
      <c r="H15" t="s">
        <v>12</v>
      </c>
      <c r="I15" t="s">
        <v>13</v>
      </c>
      <c r="J15" t="s">
        <v>63</v>
      </c>
      <c r="K15" s="1" t="s">
        <v>77</v>
      </c>
    </row>
    <row r="16" spans="1:11" x14ac:dyDescent="0.3">
      <c r="A16" t="s">
        <v>28</v>
      </c>
      <c r="B16" t="s">
        <v>10</v>
      </c>
      <c r="C16" t="s">
        <v>68</v>
      </c>
      <c r="D16" t="s">
        <v>64</v>
      </c>
      <c r="E16" t="s">
        <v>11</v>
      </c>
      <c r="F16">
        <v>2024</v>
      </c>
      <c r="G16">
        <v>2200000</v>
      </c>
      <c r="H16" t="s">
        <v>12</v>
      </c>
      <c r="I16" t="s">
        <v>13</v>
      </c>
      <c r="J16" t="s">
        <v>83</v>
      </c>
      <c r="K16" s="1" t="s">
        <v>84</v>
      </c>
    </row>
    <row r="17" spans="1:11" x14ac:dyDescent="0.3">
      <c r="A17" t="s">
        <v>29</v>
      </c>
      <c r="B17" t="s">
        <v>10</v>
      </c>
      <c r="C17" t="s">
        <v>68</v>
      </c>
      <c r="D17" t="s">
        <v>64</v>
      </c>
      <c r="E17" t="s">
        <v>11</v>
      </c>
      <c r="F17">
        <v>2026</v>
      </c>
      <c r="G17" t="s">
        <v>86</v>
      </c>
      <c r="H17" t="s">
        <v>12</v>
      </c>
      <c r="I17" t="s">
        <v>13</v>
      </c>
      <c r="J17" t="s">
        <v>83</v>
      </c>
      <c r="K17" s="1" t="s">
        <v>84</v>
      </c>
    </row>
    <row r="18" spans="1:11" x14ac:dyDescent="0.3">
      <c r="A18" t="s">
        <v>30</v>
      </c>
      <c r="B18" t="s">
        <v>10</v>
      </c>
      <c r="C18" t="s">
        <v>69</v>
      </c>
      <c r="D18" t="s">
        <v>65</v>
      </c>
      <c r="E18" t="s">
        <v>11</v>
      </c>
      <c r="F18">
        <v>2026</v>
      </c>
      <c r="G18">
        <v>2500000</v>
      </c>
      <c r="H18" t="s">
        <v>12</v>
      </c>
      <c r="I18" t="s">
        <v>13</v>
      </c>
      <c r="J18" t="s">
        <v>63</v>
      </c>
      <c r="K18" s="1" t="s">
        <v>78</v>
      </c>
    </row>
    <row r="19" spans="1:11" x14ac:dyDescent="0.3">
      <c r="A19" t="s">
        <v>31</v>
      </c>
      <c r="B19" t="s">
        <v>10</v>
      </c>
      <c r="C19" t="s">
        <v>68</v>
      </c>
      <c r="D19" t="s">
        <v>65</v>
      </c>
      <c r="E19" t="s">
        <v>11</v>
      </c>
      <c r="F19">
        <v>2026</v>
      </c>
      <c r="G19">
        <v>4500000</v>
      </c>
      <c r="H19" t="s">
        <v>12</v>
      </c>
      <c r="I19" t="s">
        <v>13</v>
      </c>
      <c r="J19" t="s">
        <v>63</v>
      </c>
      <c r="K19" s="1" t="s">
        <v>79</v>
      </c>
    </row>
    <row r="20" spans="1:11" x14ac:dyDescent="0.3">
      <c r="A20" t="s">
        <v>32</v>
      </c>
      <c r="B20" t="s">
        <v>10</v>
      </c>
      <c r="C20" t="s">
        <v>70</v>
      </c>
      <c r="D20" t="s">
        <v>65</v>
      </c>
      <c r="E20" t="s">
        <v>11</v>
      </c>
      <c r="F20">
        <v>2026</v>
      </c>
      <c r="G20">
        <v>7000000</v>
      </c>
      <c r="H20" t="s">
        <v>12</v>
      </c>
      <c r="I20" t="s">
        <v>13</v>
      </c>
      <c r="J20" t="s">
        <v>63</v>
      </c>
      <c r="K20" s="1" t="s">
        <v>80</v>
      </c>
    </row>
    <row r="21" spans="1:11" x14ac:dyDescent="0.3">
      <c r="A21" t="s">
        <v>33</v>
      </c>
      <c r="B21" t="s">
        <v>10</v>
      </c>
      <c r="C21" t="s">
        <v>69</v>
      </c>
      <c r="D21" t="s">
        <v>65</v>
      </c>
      <c r="E21" t="s">
        <v>11</v>
      </c>
      <c r="F21">
        <v>2025</v>
      </c>
      <c r="G21">
        <v>2000000</v>
      </c>
      <c r="H21" t="s">
        <v>12</v>
      </c>
      <c r="I21" t="s">
        <v>13</v>
      </c>
      <c r="J21" t="s">
        <v>63</v>
      </c>
      <c r="K21" s="1" t="s">
        <v>78</v>
      </c>
    </row>
    <row r="22" spans="1:11" x14ac:dyDescent="0.3">
      <c r="A22" t="s">
        <v>34</v>
      </c>
      <c r="B22" t="s">
        <v>10</v>
      </c>
      <c r="C22" t="s">
        <v>68</v>
      </c>
      <c r="D22" t="s">
        <v>65</v>
      </c>
      <c r="E22" t="s">
        <v>11</v>
      </c>
      <c r="F22">
        <v>2025</v>
      </c>
      <c r="G22">
        <v>3300000</v>
      </c>
      <c r="H22" t="s">
        <v>12</v>
      </c>
      <c r="I22" t="s">
        <v>13</v>
      </c>
      <c r="J22" t="s">
        <v>63</v>
      </c>
      <c r="K22" s="1" t="s">
        <v>79</v>
      </c>
    </row>
    <row r="23" spans="1:11" x14ac:dyDescent="0.3">
      <c r="A23" t="s">
        <v>35</v>
      </c>
      <c r="B23" t="s">
        <v>10</v>
      </c>
      <c r="C23" t="s">
        <v>70</v>
      </c>
      <c r="D23" t="s">
        <v>65</v>
      </c>
      <c r="E23" t="s">
        <v>11</v>
      </c>
      <c r="F23">
        <v>2025</v>
      </c>
      <c r="G23">
        <v>4500000</v>
      </c>
      <c r="H23" t="s">
        <v>12</v>
      </c>
      <c r="I23" t="s">
        <v>13</v>
      </c>
      <c r="J23" t="s">
        <v>63</v>
      </c>
      <c r="K23" s="1" t="s">
        <v>80</v>
      </c>
    </row>
    <row r="24" spans="1:11" x14ac:dyDescent="0.3">
      <c r="A24" t="s">
        <v>36</v>
      </c>
      <c r="B24" t="s">
        <v>10</v>
      </c>
      <c r="C24" t="s">
        <v>68</v>
      </c>
      <c r="D24" t="s">
        <v>65</v>
      </c>
      <c r="E24" t="s">
        <v>11</v>
      </c>
      <c r="F24">
        <v>2024</v>
      </c>
      <c r="G24">
        <v>2800000</v>
      </c>
      <c r="H24" t="s">
        <v>12</v>
      </c>
      <c r="I24" t="s">
        <v>13</v>
      </c>
      <c r="J24" t="s">
        <v>83</v>
      </c>
      <c r="K24" s="1" t="s">
        <v>84</v>
      </c>
    </row>
    <row r="25" spans="1:11" x14ac:dyDescent="0.3">
      <c r="A25" t="s">
        <v>37</v>
      </c>
      <c r="B25" t="s">
        <v>10</v>
      </c>
      <c r="C25" t="s">
        <v>68</v>
      </c>
      <c r="D25" t="s">
        <v>65</v>
      </c>
      <c r="E25" t="s">
        <v>11</v>
      </c>
      <c r="F25">
        <v>2026</v>
      </c>
      <c r="G25">
        <v>4200000</v>
      </c>
      <c r="H25" t="s">
        <v>12</v>
      </c>
      <c r="I25" t="s">
        <v>13</v>
      </c>
      <c r="J25" t="s">
        <v>83</v>
      </c>
      <c r="K25" s="1" t="s">
        <v>84</v>
      </c>
    </row>
    <row r="26" spans="1:11" x14ac:dyDescent="0.3">
      <c r="A26" t="s">
        <v>38</v>
      </c>
      <c r="B26" t="s">
        <v>10</v>
      </c>
      <c r="C26" t="s">
        <v>69</v>
      </c>
      <c r="D26" t="s">
        <v>66</v>
      </c>
      <c r="E26" t="s">
        <v>11</v>
      </c>
      <c r="F26">
        <v>2026</v>
      </c>
      <c r="G26">
        <v>2300000</v>
      </c>
      <c r="H26" t="s">
        <v>12</v>
      </c>
      <c r="I26" t="s">
        <v>13</v>
      </c>
      <c r="J26" t="s">
        <v>63</v>
      </c>
      <c r="K26" s="1" t="s">
        <v>81</v>
      </c>
    </row>
    <row r="27" spans="1:11" x14ac:dyDescent="0.3">
      <c r="A27" t="s">
        <v>39</v>
      </c>
      <c r="B27" t="s">
        <v>10</v>
      </c>
      <c r="C27" t="s">
        <v>68</v>
      </c>
      <c r="D27" t="s">
        <v>66</v>
      </c>
      <c r="E27" t="s">
        <v>11</v>
      </c>
      <c r="F27">
        <v>2026</v>
      </c>
      <c r="G27">
        <v>4000000</v>
      </c>
      <c r="H27" t="s">
        <v>12</v>
      </c>
      <c r="I27" t="s">
        <v>13</v>
      </c>
      <c r="J27" t="s">
        <v>63</v>
      </c>
      <c r="K27" s="1" t="s">
        <v>82</v>
      </c>
    </row>
    <row r="28" spans="1:11" x14ac:dyDescent="0.3">
      <c r="A28" t="s">
        <v>40</v>
      </c>
      <c r="B28" t="s">
        <v>10</v>
      </c>
      <c r="C28" t="s">
        <v>70</v>
      </c>
      <c r="D28" t="s">
        <v>66</v>
      </c>
      <c r="E28" t="s">
        <v>11</v>
      </c>
      <c r="F28">
        <v>2026</v>
      </c>
      <c r="G28">
        <v>8500000</v>
      </c>
      <c r="H28" t="s">
        <v>12</v>
      </c>
      <c r="I28" t="s">
        <v>13</v>
      </c>
      <c r="J28" t="s">
        <v>63</v>
      </c>
      <c r="K28" s="1" t="s">
        <v>87</v>
      </c>
    </row>
    <row r="29" spans="1:11" x14ac:dyDescent="0.3">
      <c r="A29" t="s">
        <v>41</v>
      </c>
      <c r="B29" t="s">
        <v>10</v>
      </c>
      <c r="C29" t="s">
        <v>69</v>
      </c>
      <c r="D29" t="s">
        <v>66</v>
      </c>
      <c r="E29" t="s">
        <v>11</v>
      </c>
      <c r="F29">
        <v>2025</v>
      </c>
      <c r="G29">
        <v>1800000</v>
      </c>
      <c r="H29" t="s">
        <v>12</v>
      </c>
      <c r="I29" t="s">
        <v>13</v>
      </c>
      <c r="J29" t="s">
        <v>63</v>
      </c>
      <c r="K29" s="1" t="s">
        <v>81</v>
      </c>
    </row>
    <row r="30" spans="1:11" x14ac:dyDescent="0.3">
      <c r="A30" t="s">
        <v>42</v>
      </c>
      <c r="B30" t="s">
        <v>10</v>
      </c>
      <c r="C30" t="s">
        <v>68</v>
      </c>
      <c r="D30" t="s">
        <v>66</v>
      </c>
      <c r="E30" t="s">
        <v>11</v>
      </c>
      <c r="F30">
        <v>2025</v>
      </c>
      <c r="G30">
        <v>3000000</v>
      </c>
      <c r="H30" t="s">
        <v>12</v>
      </c>
      <c r="I30" t="s">
        <v>13</v>
      </c>
      <c r="J30" t="s">
        <v>63</v>
      </c>
      <c r="K30" s="1" t="s">
        <v>82</v>
      </c>
    </row>
    <row r="31" spans="1:11" x14ac:dyDescent="0.3">
      <c r="A31" t="s">
        <v>43</v>
      </c>
      <c r="B31" t="s">
        <v>10</v>
      </c>
      <c r="C31" t="s">
        <v>70</v>
      </c>
      <c r="D31" t="s">
        <v>66</v>
      </c>
      <c r="E31" t="s">
        <v>11</v>
      </c>
      <c r="F31">
        <v>2025</v>
      </c>
      <c r="G31">
        <v>6000000</v>
      </c>
      <c r="H31" t="s">
        <v>12</v>
      </c>
      <c r="I31" t="s">
        <v>13</v>
      </c>
      <c r="J31" t="s">
        <v>63</v>
      </c>
      <c r="K31" s="1" t="s">
        <v>87</v>
      </c>
    </row>
    <row r="32" spans="1:11" x14ac:dyDescent="0.3">
      <c r="A32" t="s">
        <v>44</v>
      </c>
      <c r="B32" t="s">
        <v>10</v>
      </c>
      <c r="C32" t="s">
        <v>69</v>
      </c>
      <c r="D32" t="s">
        <v>88</v>
      </c>
      <c r="E32" t="s">
        <v>11</v>
      </c>
      <c r="F32">
        <v>2026</v>
      </c>
      <c r="G32">
        <v>4500000</v>
      </c>
      <c r="H32" t="s">
        <v>12</v>
      </c>
      <c r="I32" t="s">
        <v>13</v>
      </c>
      <c r="J32" t="s">
        <v>63</v>
      </c>
      <c r="K32" s="1" t="s">
        <v>89</v>
      </c>
    </row>
    <row r="33" spans="1:11" x14ac:dyDescent="0.3">
      <c r="A33" t="s">
        <v>45</v>
      </c>
      <c r="B33" t="s">
        <v>10</v>
      </c>
      <c r="C33" t="s">
        <v>68</v>
      </c>
      <c r="D33" t="s">
        <v>88</v>
      </c>
      <c r="E33" t="s">
        <v>11</v>
      </c>
      <c r="F33">
        <v>2026</v>
      </c>
      <c r="G33">
        <v>10000000</v>
      </c>
      <c r="H33" t="s">
        <v>12</v>
      </c>
      <c r="I33" t="s">
        <v>13</v>
      </c>
      <c r="J33" t="s">
        <v>63</v>
      </c>
      <c r="K33" s="1" t="s">
        <v>90</v>
      </c>
    </row>
    <row r="34" spans="1:11" x14ac:dyDescent="0.3">
      <c r="A34" t="s">
        <v>46</v>
      </c>
      <c r="B34" t="s">
        <v>10</v>
      </c>
      <c r="C34" t="s">
        <v>70</v>
      </c>
      <c r="D34" t="s">
        <v>88</v>
      </c>
      <c r="E34" t="s">
        <v>11</v>
      </c>
      <c r="F34">
        <v>2026</v>
      </c>
      <c r="G34">
        <v>15000000</v>
      </c>
      <c r="H34" t="s">
        <v>12</v>
      </c>
      <c r="I34" t="s">
        <v>13</v>
      </c>
      <c r="J34" t="s">
        <v>63</v>
      </c>
      <c r="K34" s="1" t="s">
        <v>91</v>
      </c>
    </row>
    <row r="35" spans="1:11" x14ac:dyDescent="0.3">
      <c r="A35" t="s">
        <v>47</v>
      </c>
      <c r="B35" t="s">
        <v>10</v>
      </c>
      <c r="C35" t="s">
        <v>69</v>
      </c>
      <c r="D35" t="s">
        <v>88</v>
      </c>
      <c r="E35" t="s">
        <v>11</v>
      </c>
      <c r="F35">
        <v>2025</v>
      </c>
      <c r="G35">
        <v>3500000</v>
      </c>
      <c r="H35" t="s">
        <v>12</v>
      </c>
      <c r="I35" t="s">
        <v>13</v>
      </c>
      <c r="J35" t="s">
        <v>63</v>
      </c>
      <c r="K35" s="1" t="s">
        <v>89</v>
      </c>
    </row>
    <row r="36" spans="1:11" x14ac:dyDescent="0.3">
      <c r="A36" t="s">
        <v>48</v>
      </c>
      <c r="B36" t="s">
        <v>10</v>
      </c>
      <c r="C36" t="s">
        <v>68</v>
      </c>
      <c r="D36" t="s">
        <v>88</v>
      </c>
      <c r="E36" t="s">
        <v>11</v>
      </c>
      <c r="F36">
        <v>2025</v>
      </c>
      <c r="G36">
        <v>8000000</v>
      </c>
      <c r="H36" t="s">
        <v>12</v>
      </c>
      <c r="I36" t="s">
        <v>13</v>
      </c>
      <c r="J36" t="s">
        <v>63</v>
      </c>
      <c r="K36" s="1" t="s">
        <v>90</v>
      </c>
    </row>
    <row r="37" spans="1:11" x14ac:dyDescent="0.3">
      <c r="A37" t="s">
        <v>49</v>
      </c>
      <c r="B37" t="s">
        <v>10</v>
      </c>
      <c r="C37" t="s">
        <v>70</v>
      </c>
      <c r="D37" t="s">
        <v>88</v>
      </c>
      <c r="E37" t="s">
        <v>11</v>
      </c>
      <c r="F37">
        <v>2025</v>
      </c>
      <c r="G37">
        <v>9300000</v>
      </c>
      <c r="H37" t="s">
        <v>12</v>
      </c>
      <c r="I37" t="s">
        <v>13</v>
      </c>
      <c r="J37" t="s">
        <v>63</v>
      </c>
      <c r="K37" s="1" t="s">
        <v>91</v>
      </c>
    </row>
    <row r="38" spans="1:11" x14ac:dyDescent="0.3">
      <c r="A38" t="s">
        <v>50</v>
      </c>
      <c r="B38" t="s">
        <v>10</v>
      </c>
      <c r="C38" t="s">
        <v>69</v>
      </c>
      <c r="D38" t="s">
        <v>92</v>
      </c>
      <c r="E38" t="s">
        <v>11</v>
      </c>
      <c r="F38">
        <v>2026</v>
      </c>
      <c r="G38">
        <v>1900000</v>
      </c>
      <c r="H38" t="s">
        <v>12</v>
      </c>
      <c r="I38" t="s">
        <v>13</v>
      </c>
      <c r="J38" t="s">
        <v>63</v>
      </c>
      <c r="K38" s="1" t="s">
        <v>93</v>
      </c>
    </row>
    <row r="39" spans="1:11" x14ac:dyDescent="0.3">
      <c r="A39" t="s">
        <v>51</v>
      </c>
      <c r="B39" t="s">
        <v>10</v>
      </c>
      <c r="C39" t="s">
        <v>68</v>
      </c>
      <c r="D39" t="s">
        <v>92</v>
      </c>
      <c r="E39" t="s">
        <v>11</v>
      </c>
      <c r="F39">
        <v>2026</v>
      </c>
      <c r="G39">
        <v>3000000</v>
      </c>
      <c r="H39" t="s">
        <v>12</v>
      </c>
      <c r="I39" t="s">
        <v>13</v>
      </c>
      <c r="J39" t="s">
        <v>63</v>
      </c>
      <c r="K39" s="1" t="s">
        <v>94</v>
      </c>
    </row>
    <row r="40" spans="1:11" x14ac:dyDescent="0.3">
      <c r="A40" t="s">
        <v>52</v>
      </c>
      <c r="B40" t="s">
        <v>10</v>
      </c>
      <c r="C40" t="s">
        <v>70</v>
      </c>
      <c r="D40" t="s">
        <v>92</v>
      </c>
      <c r="E40" t="s">
        <v>11</v>
      </c>
      <c r="F40">
        <v>2026</v>
      </c>
      <c r="G40">
        <v>4000000</v>
      </c>
      <c r="H40" t="s">
        <v>12</v>
      </c>
      <c r="I40" t="s">
        <v>13</v>
      </c>
      <c r="J40" t="s">
        <v>63</v>
      </c>
      <c r="K40" s="1" t="s">
        <v>95</v>
      </c>
    </row>
    <row r="41" spans="1:11" x14ac:dyDescent="0.3">
      <c r="A41" t="s">
        <v>53</v>
      </c>
      <c r="B41" t="s">
        <v>10</v>
      </c>
      <c r="C41" t="s">
        <v>69</v>
      </c>
      <c r="D41" t="s">
        <v>92</v>
      </c>
      <c r="E41" t="s">
        <v>11</v>
      </c>
      <c r="F41">
        <v>2025</v>
      </c>
      <c r="G41">
        <v>1500000</v>
      </c>
      <c r="H41" t="s">
        <v>12</v>
      </c>
      <c r="I41" t="s">
        <v>13</v>
      </c>
      <c r="J41" t="s">
        <v>63</v>
      </c>
      <c r="K41" s="1" t="s">
        <v>93</v>
      </c>
    </row>
    <row r="42" spans="1:11" x14ac:dyDescent="0.3">
      <c r="A42" t="s">
        <v>54</v>
      </c>
      <c r="B42" t="s">
        <v>10</v>
      </c>
      <c r="C42" t="s">
        <v>68</v>
      </c>
      <c r="D42" t="s">
        <v>92</v>
      </c>
      <c r="E42" t="s">
        <v>11</v>
      </c>
      <c r="F42">
        <v>2025</v>
      </c>
      <c r="G42">
        <v>2500000</v>
      </c>
      <c r="H42" t="s">
        <v>12</v>
      </c>
      <c r="I42" t="s">
        <v>13</v>
      </c>
      <c r="J42" t="s">
        <v>63</v>
      </c>
      <c r="K42" s="1" t="s">
        <v>94</v>
      </c>
    </row>
    <row r="43" spans="1:11" x14ac:dyDescent="0.3">
      <c r="A43" t="s">
        <v>55</v>
      </c>
      <c r="B43" t="s">
        <v>10</v>
      </c>
      <c r="C43" t="s">
        <v>70</v>
      </c>
      <c r="D43" t="s">
        <v>92</v>
      </c>
      <c r="E43" t="s">
        <v>11</v>
      </c>
      <c r="F43">
        <v>2025</v>
      </c>
      <c r="G43">
        <v>3000000</v>
      </c>
      <c r="H43" t="s">
        <v>12</v>
      </c>
      <c r="I43" t="s">
        <v>13</v>
      </c>
      <c r="J43" t="s">
        <v>63</v>
      </c>
      <c r="K43" s="1" t="s">
        <v>95</v>
      </c>
    </row>
    <row r="44" spans="1:11" x14ac:dyDescent="0.3">
      <c r="A44" t="s">
        <v>56</v>
      </c>
      <c r="B44" t="s">
        <v>10</v>
      </c>
      <c r="C44" t="s">
        <v>69</v>
      </c>
      <c r="D44" t="s">
        <v>67</v>
      </c>
      <c r="E44" t="s">
        <v>11</v>
      </c>
      <c r="F44">
        <v>2026</v>
      </c>
      <c r="G44">
        <v>3500000</v>
      </c>
      <c r="H44" t="s">
        <v>12</v>
      </c>
      <c r="I44" t="s">
        <v>13</v>
      </c>
      <c r="J44" t="s">
        <v>63</v>
      </c>
      <c r="K44" s="1" t="s">
        <v>96</v>
      </c>
    </row>
    <row r="45" spans="1:11" x14ac:dyDescent="0.3">
      <c r="A45" t="s">
        <v>57</v>
      </c>
      <c r="B45" t="s">
        <v>10</v>
      </c>
      <c r="C45" t="s">
        <v>68</v>
      </c>
      <c r="D45" t="s">
        <v>67</v>
      </c>
      <c r="E45" t="s">
        <v>11</v>
      </c>
      <c r="F45">
        <v>2026</v>
      </c>
      <c r="G45">
        <v>6000000</v>
      </c>
      <c r="H45" t="s">
        <v>12</v>
      </c>
      <c r="I45" t="s">
        <v>13</v>
      </c>
      <c r="J45" t="s">
        <v>63</v>
      </c>
      <c r="K45" s="1" t="s">
        <v>97</v>
      </c>
    </row>
    <row r="46" spans="1:11" x14ac:dyDescent="0.3">
      <c r="A46" t="s">
        <v>58</v>
      </c>
      <c r="B46" t="s">
        <v>10</v>
      </c>
      <c r="C46" t="s">
        <v>70</v>
      </c>
      <c r="D46" t="s">
        <v>67</v>
      </c>
      <c r="E46" t="s">
        <v>11</v>
      </c>
      <c r="F46">
        <v>2026</v>
      </c>
      <c r="G46">
        <v>8000000</v>
      </c>
      <c r="H46" t="s">
        <v>12</v>
      </c>
      <c r="I46" t="s">
        <v>13</v>
      </c>
      <c r="J46" t="s">
        <v>63</v>
      </c>
      <c r="K46" s="1" t="s">
        <v>98</v>
      </c>
    </row>
    <row r="47" spans="1:11" x14ac:dyDescent="0.3">
      <c r="A47" t="s">
        <v>59</v>
      </c>
      <c r="B47" t="s">
        <v>10</v>
      </c>
      <c r="C47" t="s">
        <v>69</v>
      </c>
      <c r="D47" t="s">
        <v>67</v>
      </c>
      <c r="E47" t="s">
        <v>11</v>
      </c>
      <c r="F47">
        <v>2025</v>
      </c>
      <c r="G47">
        <v>2500000</v>
      </c>
      <c r="H47" t="s">
        <v>12</v>
      </c>
      <c r="I47" t="s">
        <v>13</v>
      </c>
      <c r="J47" t="s">
        <v>63</v>
      </c>
      <c r="K47" s="1" t="s">
        <v>96</v>
      </c>
    </row>
    <row r="48" spans="1:11" x14ac:dyDescent="0.3">
      <c r="A48" t="s">
        <v>60</v>
      </c>
      <c r="B48" t="s">
        <v>10</v>
      </c>
      <c r="C48" t="s">
        <v>68</v>
      </c>
      <c r="D48" t="s">
        <v>67</v>
      </c>
      <c r="E48" t="s">
        <v>11</v>
      </c>
      <c r="F48">
        <v>2025</v>
      </c>
      <c r="G48">
        <v>5000000</v>
      </c>
      <c r="H48" t="s">
        <v>12</v>
      </c>
      <c r="I48" t="s">
        <v>13</v>
      </c>
      <c r="J48" t="s">
        <v>63</v>
      </c>
      <c r="K48" s="1" t="s">
        <v>97</v>
      </c>
    </row>
    <row r="49" spans="1:11" x14ac:dyDescent="0.3">
      <c r="A49" t="s">
        <v>61</v>
      </c>
      <c r="B49" t="s">
        <v>10</v>
      </c>
      <c r="C49" t="s">
        <v>70</v>
      </c>
      <c r="D49" t="s">
        <v>67</v>
      </c>
      <c r="E49" t="s">
        <v>11</v>
      </c>
      <c r="F49">
        <v>2025</v>
      </c>
      <c r="G49">
        <v>7000000</v>
      </c>
      <c r="H49" t="s">
        <v>12</v>
      </c>
      <c r="I49" t="s">
        <v>13</v>
      </c>
      <c r="J49" t="s">
        <v>63</v>
      </c>
      <c r="K49" s="1" t="s">
        <v>98</v>
      </c>
    </row>
    <row r="50" spans="1:11" x14ac:dyDescent="0.3">
      <c r="A50" t="s">
        <v>99</v>
      </c>
      <c r="B50" t="s">
        <v>10</v>
      </c>
      <c r="C50" t="s">
        <v>130</v>
      </c>
      <c r="D50" t="s">
        <v>62</v>
      </c>
      <c r="E50" t="s">
        <v>11</v>
      </c>
      <c r="F50">
        <v>2025</v>
      </c>
      <c r="G50">
        <v>50000000</v>
      </c>
      <c r="H50" t="s">
        <v>129</v>
      </c>
      <c r="I50" t="s">
        <v>13</v>
      </c>
      <c r="J50" t="s">
        <v>63</v>
      </c>
      <c r="K50" s="1" t="s">
        <v>132</v>
      </c>
    </row>
    <row r="51" spans="1:11" x14ac:dyDescent="0.3">
      <c r="A51" t="s">
        <v>100</v>
      </c>
      <c r="B51" t="s">
        <v>10</v>
      </c>
      <c r="C51" t="s">
        <v>130</v>
      </c>
      <c r="D51" t="s">
        <v>62</v>
      </c>
      <c r="E51" t="s">
        <v>11</v>
      </c>
      <c r="F51">
        <v>2026</v>
      </c>
      <c r="G51">
        <v>58000000</v>
      </c>
      <c r="H51" t="s">
        <v>129</v>
      </c>
      <c r="I51" t="s">
        <v>13</v>
      </c>
      <c r="J51" t="s">
        <v>63</v>
      </c>
      <c r="K51" s="1" t="s">
        <v>132</v>
      </c>
    </row>
    <row r="52" spans="1:11" x14ac:dyDescent="0.3">
      <c r="A52" t="s">
        <v>101</v>
      </c>
      <c r="B52" t="s">
        <v>10</v>
      </c>
      <c r="C52" t="s">
        <v>130</v>
      </c>
      <c r="D52" t="s">
        <v>64</v>
      </c>
      <c r="E52" t="s">
        <v>11</v>
      </c>
      <c r="F52">
        <v>2025</v>
      </c>
      <c r="G52">
        <v>78000000</v>
      </c>
      <c r="H52" t="s">
        <v>129</v>
      </c>
      <c r="I52" t="s">
        <v>13</v>
      </c>
      <c r="J52" t="s">
        <v>63</v>
      </c>
      <c r="K52" s="1" t="s">
        <v>134</v>
      </c>
    </row>
    <row r="53" spans="1:11" x14ac:dyDescent="0.3">
      <c r="A53" t="s">
        <v>102</v>
      </c>
      <c r="B53" t="s">
        <v>10</v>
      </c>
      <c r="C53" t="s">
        <v>130</v>
      </c>
      <c r="D53" t="s">
        <v>64</v>
      </c>
      <c r="E53" t="s">
        <v>11</v>
      </c>
      <c r="F53">
        <v>2026</v>
      </c>
      <c r="G53">
        <v>75000000</v>
      </c>
      <c r="H53" t="s">
        <v>129</v>
      </c>
      <c r="I53" t="s">
        <v>13</v>
      </c>
      <c r="J53" t="s">
        <v>63</v>
      </c>
      <c r="K53" s="1" t="s">
        <v>134</v>
      </c>
    </row>
    <row r="54" spans="1:11" x14ac:dyDescent="0.3">
      <c r="A54" t="s">
        <v>103</v>
      </c>
      <c r="B54" t="s">
        <v>10</v>
      </c>
      <c r="C54" t="s">
        <v>131</v>
      </c>
      <c r="D54" t="s">
        <v>64</v>
      </c>
      <c r="E54" t="s">
        <v>11</v>
      </c>
      <c r="F54">
        <v>2025</v>
      </c>
      <c r="G54">
        <v>100000000</v>
      </c>
      <c r="H54" t="s">
        <v>129</v>
      </c>
      <c r="I54" t="s">
        <v>13</v>
      </c>
      <c r="J54" t="s">
        <v>63</v>
      </c>
      <c r="K54" s="1" t="s">
        <v>133</v>
      </c>
    </row>
    <row r="55" spans="1:11" x14ac:dyDescent="0.3">
      <c r="A55" t="s">
        <v>104</v>
      </c>
      <c r="B55" t="s">
        <v>10</v>
      </c>
      <c r="C55" t="s">
        <v>131</v>
      </c>
      <c r="D55" t="s">
        <v>64</v>
      </c>
      <c r="E55" t="s">
        <v>11</v>
      </c>
      <c r="F55">
        <v>2026</v>
      </c>
      <c r="G55">
        <v>110000000</v>
      </c>
      <c r="H55" t="s">
        <v>129</v>
      </c>
      <c r="I55" t="s">
        <v>13</v>
      </c>
      <c r="J55" t="s">
        <v>63</v>
      </c>
      <c r="K55" s="1" t="s">
        <v>133</v>
      </c>
    </row>
    <row r="56" spans="1:11" x14ac:dyDescent="0.3">
      <c r="A56" t="s">
        <v>105</v>
      </c>
      <c r="B56" t="s">
        <v>10</v>
      </c>
      <c r="C56" t="s">
        <v>130</v>
      </c>
      <c r="D56" t="s">
        <v>66</v>
      </c>
      <c r="E56" t="s">
        <v>11</v>
      </c>
      <c r="F56">
        <v>2025</v>
      </c>
      <c r="G56">
        <v>50000000</v>
      </c>
      <c r="H56" t="s">
        <v>129</v>
      </c>
      <c r="I56" t="s">
        <v>13</v>
      </c>
      <c r="J56" t="s">
        <v>63</v>
      </c>
      <c r="K56" s="1" t="s">
        <v>135</v>
      </c>
    </row>
    <row r="57" spans="1:11" x14ac:dyDescent="0.3">
      <c r="A57" t="s">
        <v>106</v>
      </c>
      <c r="B57" t="s">
        <v>10</v>
      </c>
      <c r="C57" t="s">
        <v>130</v>
      </c>
      <c r="D57" t="s">
        <v>66</v>
      </c>
      <c r="E57" t="s">
        <v>11</v>
      </c>
      <c r="F57">
        <v>2026</v>
      </c>
      <c r="G57">
        <v>95000000</v>
      </c>
      <c r="H57" t="s">
        <v>129</v>
      </c>
      <c r="I57" t="s">
        <v>13</v>
      </c>
      <c r="J57" t="s">
        <v>63</v>
      </c>
      <c r="K57" s="1" t="s">
        <v>135</v>
      </c>
    </row>
    <row r="58" spans="1:11" x14ac:dyDescent="0.3">
      <c r="A58" t="s">
        <v>107</v>
      </c>
      <c r="B58" t="s">
        <v>10</v>
      </c>
      <c r="C58" t="s">
        <v>131</v>
      </c>
      <c r="D58" t="s">
        <v>66</v>
      </c>
      <c r="E58" t="s">
        <v>11</v>
      </c>
      <c r="F58">
        <v>2025</v>
      </c>
      <c r="G58">
        <v>140000000</v>
      </c>
      <c r="H58" t="s">
        <v>129</v>
      </c>
      <c r="I58" t="s">
        <v>13</v>
      </c>
      <c r="J58" t="s">
        <v>63</v>
      </c>
      <c r="K58" s="1" t="s">
        <v>137</v>
      </c>
    </row>
    <row r="59" spans="1:11" x14ac:dyDescent="0.3">
      <c r="A59" t="s">
        <v>108</v>
      </c>
      <c r="B59" t="s">
        <v>10</v>
      </c>
      <c r="C59" t="s">
        <v>131</v>
      </c>
      <c r="D59" t="s">
        <v>66</v>
      </c>
      <c r="E59" t="s">
        <v>11</v>
      </c>
      <c r="F59">
        <v>2026</v>
      </c>
      <c r="G59">
        <v>165000000</v>
      </c>
      <c r="H59" t="s">
        <v>129</v>
      </c>
      <c r="I59" t="s">
        <v>13</v>
      </c>
      <c r="J59" t="s">
        <v>63</v>
      </c>
      <c r="K59" s="1" t="s">
        <v>137</v>
      </c>
    </row>
    <row r="60" spans="1:11" x14ac:dyDescent="0.3">
      <c r="A60" t="s">
        <v>109</v>
      </c>
      <c r="B60" t="s">
        <v>10</v>
      </c>
      <c r="C60" t="s">
        <v>136</v>
      </c>
      <c r="D60" t="s">
        <v>66</v>
      </c>
      <c r="E60" t="s">
        <v>11</v>
      </c>
      <c r="F60">
        <v>2025</v>
      </c>
      <c r="G60">
        <v>199000000</v>
      </c>
      <c r="H60" t="s">
        <v>129</v>
      </c>
      <c r="I60" t="s">
        <v>13</v>
      </c>
      <c r="J60" t="s">
        <v>63</v>
      </c>
      <c r="K60" s="1" t="s">
        <v>140</v>
      </c>
    </row>
    <row r="61" spans="1:11" x14ac:dyDescent="0.3">
      <c r="A61" t="s">
        <v>110</v>
      </c>
      <c r="B61" t="s">
        <v>10</v>
      </c>
      <c r="C61" t="s">
        <v>136</v>
      </c>
      <c r="D61" t="s">
        <v>66</v>
      </c>
      <c r="E61" t="s">
        <v>11</v>
      </c>
      <c r="F61">
        <v>2026</v>
      </c>
      <c r="G61">
        <v>300000000</v>
      </c>
      <c r="H61" t="s">
        <v>129</v>
      </c>
      <c r="I61" t="s">
        <v>13</v>
      </c>
      <c r="J61" t="s">
        <v>63</v>
      </c>
      <c r="K61" s="1" t="s">
        <v>140</v>
      </c>
    </row>
    <row r="62" spans="1:11" x14ac:dyDescent="0.3">
      <c r="A62" t="s">
        <v>111</v>
      </c>
      <c r="B62" t="s">
        <v>10</v>
      </c>
      <c r="C62" t="s">
        <v>131</v>
      </c>
      <c r="D62" t="s">
        <v>62</v>
      </c>
      <c r="E62" t="s">
        <v>11</v>
      </c>
      <c r="F62">
        <v>2025</v>
      </c>
      <c r="G62">
        <v>85000000</v>
      </c>
      <c r="H62" t="s">
        <v>129</v>
      </c>
      <c r="I62" t="s">
        <v>13</v>
      </c>
      <c r="J62" t="s">
        <v>63</v>
      </c>
      <c r="K62" s="1" t="s">
        <v>138</v>
      </c>
    </row>
    <row r="63" spans="1:11" x14ac:dyDescent="0.3">
      <c r="A63" t="s">
        <v>112</v>
      </c>
      <c r="B63" t="s">
        <v>10</v>
      </c>
      <c r="C63" t="s">
        <v>131</v>
      </c>
      <c r="D63" t="s">
        <v>62</v>
      </c>
      <c r="E63" t="s">
        <v>11</v>
      </c>
      <c r="F63">
        <v>2026</v>
      </c>
      <c r="G63">
        <v>140000000</v>
      </c>
      <c r="H63" t="s">
        <v>129</v>
      </c>
      <c r="I63" t="s">
        <v>13</v>
      </c>
      <c r="J63" t="s">
        <v>63</v>
      </c>
      <c r="K63" s="1" t="s">
        <v>138</v>
      </c>
    </row>
    <row r="64" spans="1:11" x14ac:dyDescent="0.3">
      <c r="A64" t="s">
        <v>113</v>
      </c>
      <c r="B64" t="s">
        <v>10</v>
      </c>
      <c r="C64" t="s">
        <v>136</v>
      </c>
      <c r="D64" t="s">
        <v>62</v>
      </c>
      <c r="E64" t="s">
        <v>11</v>
      </c>
      <c r="F64">
        <v>2025</v>
      </c>
      <c r="G64">
        <v>150000000</v>
      </c>
      <c r="H64" t="s">
        <v>129</v>
      </c>
      <c r="I64" t="s">
        <v>13</v>
      </c>
      <c r="J64" t="s">
        <v>63</v>
      </c>
      <c r="K64" s="1" t="s">
        <v>139</v>
      </c>
    </row>
    <row r="65" spans="1:11" x14ac:dyDescent="0.3">
      <c r="A65" t="s">
        <v>114</v>
      </c>
      <c r="B65" t="s">
        <v>10</v>
      </c>
      <c r="C65" t="s">
        <v>136</v>
      </c>
      <c r="D65" t="s">
        <v>62</v>
      </c>
      <c r="E65" t="s">
        <v>11</v>
      </c>
      <c r="F65">
        <v>2026</v>
      </c>
      <c r="G65">
        <v>170000000</v>
      </c>
      <c r="H65" t="s">
        <v>129</v>
      </c>
      <c r="I65" t="s">
        <v>13</v>
      </c>
      <c r="J65" t="s">
        <v>63</v>
      </c>
      <c r="K65" s="1" t="s">
        <v>139</v>
      </c>
    </row>
    <row r="66" spans="1:11" x14ac:dyDescent="0.3">
      <c r="A66" t="s">
        <v>115</v>
      </c>
      <c r="B66" t="s">
        <v>10</v>
      </c>
      <c r="C66" t="s">
        <v>136</v>
      </c>
      <c r="D66" t="s">
        <v>64</v>
      </c>
      <c r="E66" t="s">
        <v>11</v>
      </c>
      <c r="F66">
        <v>2025</v>
      </c>
      <c r="G66">
        <v>120000000</v>
      </c>
      <c r="H66" t="s">
        <v>129</v>
      </c>
      <c r="I66" t="s">
        <v>13</v>
      </c>
      <c r="J66" t="s">
        <v>63</v>
      </c>
      <c r="K66" s="1" t="s">
        <v>141</v>
      </c>
    </row>
    <row r="67" spans="1:11" x14ac:dyDescent="0.3">
      <c r="A67" t="s">
        <v>116</v>
      </c>
      <c r="B67" t="s">
        <v>10</v>
      </c>
      <c r="C67" t="s">
        <v>136</v>
      </c>
      <c r="D67" t="s">
        <v>64</v>
      </c>
      <c r="E67" t="s">
        <v>11</v>
      </c>
      <c r="F67">
        <v>2026</v>
      </c>
      <c r="G67">
        <v>280000000</v>
      </c>
      <c r="H67" t="s">
        <v>129</v>
      </c>
      <c r="I67" t="s">
        <v>13</v>
      </c>
      <c r="J67" t="s">
        <v>63</v>
      </c>
      <c r="K67" s="1" t="s">
        <v>141</v>
      </c>
    </row>
    <row r="68" spans="1:11" x14ac:dyDescent="0.3">
      <c r="A68" t="s">
        <v>117</v>
      </c>
      <c r="B68" t="s">
        <v>10</v>
      </c>
      <c r="C68" t="s">
        <v>130</v>
      </c>
      <c r="D68" t="s">
        <v>65</v>
      </c>
      <c r="E68" t="s">
        <v>11</v>
      </c>
      <c r="F68">
        <v>2025</v>
      </c>
      <c r="G68">
        <v>15500000</v>
      </c>
      <c r="H68" t="s">
        <v>129</v>
      </c>
      <c r="I68" t="s">
        <v>13</v>
      </c>
      <c r="J68" t="s">
        <v>63</v>
      </c>
      <c r="K68" s="1" t="s">
        <v>142</v>
      </c>
    </row>
    <row r="69" spans="1:11" x14ac:dyDescent="0.3">
      <c r="A69" t="s">
        <v>118</v>
      </c>
      <c r="B69" t="s">
        <v>10</v>
      </c>
      <c r="C69" t="s">
        <v>130</v>
      </c>
      <c r="D69" t="s">
        <v>65</v>
      </c>
      <c r="E69" t="s">
        <v>11</v>
      </c>
      <c r="F69">
        <v>2026</v>
      </c>
      <c r="G69">
        <v>21000000</v>
      </c>
      <c r="H69" t="s">
        <v>129</v>
      </c>
      <c r="I69" t="s">
        <v>13</v>
      </c>
      <c r="J69" t="s">
        <v>63</v>
      </c>
      <c r="K69" s="1" t="s">
        <v>142</v>
      </c>
    </row>
    <row r="70" spans="1:11" x14ac:dyDescent="0.3">
      <c r="A70" t="s">
        <v>119</v>
      </c>
      <c r="B70" t="s">
        <v>10</v>
      </c>
      <c r="C70" t="s">
        <v>131</v>
      </c>
      <c r="D70" t="s">
        <v>65</v>
      </c>
      <c r="E70" t="s">
        <v>11</v>
      </c>
      <c r="F70">
        <v>2025</v>
      </c>
      <c r="G70">
        <v>55000000</v>
      </c>
      <c r="H70" t="s">
        <v>129</v>
      </c>
      <c r="I70" t="s">
        <v>13</v>
      </c>
      <c r="J70" t="s">
        <v>63</v>
      </c>
      <c r="K70" s="1" t="s">
        <v>143</v>
      </c>
    </row>
    <row r="71" spans="1:11" x14ac:dyDescent="0.3">
      <c r="A71" t="s">
        <v>120</v>
      </c>
      <c r="B71" t="s">
        <v>10</v>
      </c>
      <c r="C71" t="s">
        <v>131</v>
      </c>
      <c r="D71" t="s">
        <v>65</v>
      </c>
      <c r="E71" t="s">
        <v>11</v>
      </c>
      <c r="F71">
        <v>2026</v>
      </c>
      <c r="G71">
        <v>85000000</v>
      </c>
      <c r="H71" t="s">
        <v>129</v>
      </c>
      <c r="I71" t="s">
        <v>13</v>
      </c>
      <c r="J71" t="s">
        <v>63</v>
      </c>
      <c r="K71" s="1" t="s">
        <v>143</v>
      </c>
    </row>
    <row r="72" spans="1:11" x14ac:dyDescent="0.3">
      <c r="A72" t="s">
        <v>121</v>
      </c>
      <c r="B72" t="s">
        <v>10</v>
      </c>
      <c r="C72" t="s">
        <v>136</v>
      </c>
      <c r="D72" t="s">
        <v>65</v>
      </c>
      <c r="E72" t="s">
        <v>11</v>
      </c>
      <c r="F72">
        <v>2025</v>
      </c>
      <c r="G72">
        <v>150000000</v>
      </c>
      <c r="H72" t="s">
        <v>129</v>
      </c>
      <c r="I72" t="s">
        <v>13</v>
      </c>
      <c r="J72" t="s">
        <v>63</v>
      </c>
      <c r="K72" s="1" t="s">
        <v>144</v>
      </c>
    </row>
    <row r="73" spans="1:11" x14ac:dyDescent="0.3">
      <c r="A73" t="s">
        <v>122</v>
      </c>
      <c r="B73" t="s">
        <v>10</v>
      </c>
      <c r="C73" t="s">
        <v>136</v>
      </c>
      <c r="D73" t="s">
        <v>65</v>
      </c>
      <c r="E73" t="s">
        <v>11</v>
      </c>
      <c r="F73">
        <v>2026</v>
      </c>
      <c r="G73">
        <v>160000000</v>
      </c>
      <c r="H73" t="s">
        <v>129</v>
      </c>
      <c r="I73" t="s">
        <v>13</v>
      </c>
      <c r="J73" t="s">
        <v>63</v>
      </c>
      <c r="K73" s="1" t="s">
        <v>144</v>
      </c>
    </row>
    <row r="74" spans="1:11" x14ac:dyDescent="0.3">
      <c r="A74" t="s">
        <v>123</v>
      </c>
      <c r="B74" t="s">
        <v>10</v>
      </c>
      <c r="C74" t="s">
        <v>130</v>
      </c>
      <c r="D74" t="s">
        <v>88</v>
      </c>
      <c r="E74" t="s">
        <v>11</v>
      </c>
      <c r="F74">
        <v>2025</v>
      </c>
      <c r="G74">
        <v>78000000</v>
      </c>
      <c r="H74" t="s">
        <v>129</v>
      </c>
      <c r="I74" t="s">
        <v>13</v>
      </c>
      <c r="J74" t="s">
        <v>63</v>
      </c>
      <c r="K74" s="1" t="s">
        <v>145</v>
      </c>
    </row>
    <row r="75" spans="1:11" x14ac:dyDescent="0.3">
      <c r="A75" t="s">
        <v>124</v>
      </c>
      <c r="B75" t="s">
        <v>10</v>
      </c>
      <c r="C75" t="s">
        <v>130</v>
      </c>
      <c r="D75" t="s">
        <v>88</v>
      </c>
      <c r="E75" t="s">
        <v>11</v>
      </c>
      <c r="F75">
        <v>2026</v>
      </c>
      <c r="G75">
        <v>130000000</v>
      </c>
      <c r="H75" t="s">
        <v>129</v>
      </c>
      <c r="I75" t="s">
        <v>13</v>
      </c>
      <c r="J75" t="s">
        <v>63</v>
      </c>
      <c r="K75" s="1" t="s">
        <v>145</v>
      </c>
    </row>
    <row r="76" spans="1:11" x14ac:dyDescent="0.3">
      <c r="A76" t="s">
        <v>125</v>
      </c>
      <c r="B76" t="s">
        <v>10</v>
      </c>
      <c r="C76" t="s">
        <v>131</v>
      </c>
      <c r="D76" t="s">
        <v>88</v>
      </c>
      <c r="E76" t="s">
        <v>11</v>
      </c>
      <c r="F76">
        <v>2025</v>
      </c>
      <c r="G76">
        <v>150000000</v>
      </c>
      <c r="H76" t="s">
        <v>129</v>
      </c>
      <c r="I76" t="s">
        <v>13</v>
      </c>
      <c r="J76" t="s">
        <v>63</v>
      </c>
      <c r="K76" s="1" t="s">
        <v>146</v>
      </c>
    </row>
    <row r="77" spans="1:11" x14ac:dyDescent="0.3">
      <c r="A77" t="s">
        <v>126</v>
      </c>
      <c r="B77" t="s">
        <v>10</v>
      </c>
      <c r="C77" t="s">
        <v>131</v>
      </c>
      <c r="D77" t="s">
        <v>88</v>
      </c>
      <c r="E77" t="s">
        <v>11</v>
      </c>
      <c r="F77">
        <v>2026</v>
      </c>
      <c r="G77">
        <v>200000000</v>
      </c>
      <c r="H77" t="s">
        <v>129</v>
      </c>
      <c r="I77" t="s">
        <v>13</v>
      </c>
      <c r="J77" t="s">
        <v>63</v>
      </c>
      <c r="K77" s="1" t="s">
        <v>146</v>
      </c>
    </row>
    <row r="78" spans="1:11" x14ac:dyDescent="0.3">
      <c r="A78" t="s">
        <v>127</v>
      </c>
      <c r="B78" t="s">
        <v>10</v>
      </c>
      <c r="C78" t="s">
        <v>136</v>
      </c>
      <c r="D78" t="s">
        <v>88</v>
      </c>
      <c r="E78" t="s">
        <v>11</v>
      </c>
      <c r="F78">
        <v>2025</v>
      </c>
      <c r="G78">
        <v>130000000</v>
      </c>
      <c r="H78" t="s">
        <v>129</v>
      </c>
      <c r="I78" t="s">
        <v>13</v>
      </c>
      <c r="J78" t="s">
        <v>63</v>
      </c>
      <c r="K78" s="1" t="s">
        <v>147</v>
      </c>
    </row>
    <row r="79" spans="1:11" x14ac:dyDescent="0.3">
      <c r="A79" t="s">
        <v>128</v>
      </c>
      <c r="B79" t="s">
        <v>10</v>
      </c>
      <c r="C79" t="s">
        <v>136</v>
      </c>
      <c r="D79" t="s">
        <v>88</v>
      </c>
      <c r="E79" t="s">
        <v>11</v>
      </c>
      <c r="F79">
        <v>2026</v>
      </c>
      <c r="G79">
        <v>185000000</v>
      </c>
      <c r="H79" t="s">
        <v>129</v>
      </c>
      <c r="I79" t="s">
        <v>13</v>
      </c>
      <c r="J79" t="s">
        <v>63</v>
      </c>
      <c r="K79" s="1" t="s">
        <v>147</v>
      </c>
    </row>
    <row r="80" spans="1:11" x14ac:dyDescent="0.3">
      <c r="A80" t="s">
        <v>154</v>
      </c>
      <c r="B80" t="s">
        <v>10</v>
      </c>
      <c r="C80" t="s">
        <v>130</v>
      </c>
      <c r="D80" t="s">
        <v>92</v>
      </c>
      <c r="E80" t="s">
        <v>11</v>
      </c>
      <c r="F80">
        <v>2025</v>
      </c>
      <c r="G80">
        <v>45000000</v>
      </c>
      <c r="H80" t="s">
        <v>129</v>
      </c>
      <c r="I80" t="s">
        <v>13</v>
      </c>
      <c r="J80" t="s">
        <v>63</v>
      </c>
      <c r="K80" s="1" t="s">
        <v>148</v>
      </c>
    </row>
    <row r="81" spans="1:11" x14ac:dyDescent="0.3">
      <c r="A81" t="s">
        <v>155</v>
      </c>
      <c r="B81" t="s">
        <v>10</v>
      </c>
      <c r="C81" t="s">
        <v>130</v>
      </c>
      <c r="D81" t="s">
        <v>92</v>
      </c>
      <c r="E81" t="s">
        <v>11</v>
      </c>
      <c r="F81">
        <v>2026</v>
      </c>
      <c r="G81">
        <v>52000000</v>
      </c>
      <c r="H81" t="s">
        <v>129</v>
      </c>
      <c r="I81" t="s">
        <v>13</v>
      </c>
      <c r="J81" t="s">
        <v>63</v>
      </c>
      <c r="K81" s="1" t="s">
        <v>148</v>
      </c>
    </row>
    <row r="82" spans="1:11" x14ac:dyDescent="0.3">
      <c r="A82" t="s">
        <v>156</v>
      </c>
      <c r="B82" t="s">
        <v>10</v>
      </c>
      <c r="C82" t="s">
        <v>131</v>
      </c>
      <c r="D82" t="s">
        <v>92</v>
      </c>
      <c r="E82" t="s">
        <v>11</v>
      </c>
      <c r="F82">
        <v>2025</v>
      </c>
      <c r="G82">
        <v>60000000</v>
      </c>
      <c r="H82" t="s">
        <v>129</v>
      </c>
      <c r="I82" t="s">
        <v>13</v>
      </c>
      <c r="J82" t="s">
        <v>63</v>
      </c>
      <c r="K82" s="1" t="s">
        <v>149</v>
      </c>
    </row>
    <row r="83" spans="1:11" x14ac:dyDescent="0.3">
      <c r="A83" t="s">
        <v>157</v>
      </c>
      <c r="B83" t="s">
        <v>10</v>
      </c>
      <c r="C83" t="s">
        <v>131</v>
      </c>
      <c r="D83" t="s">
        <v>92</v>
      </c>
      <c r="E83" t="s">
        <v>11</v>
      </c>
      <c r="F83">
        <v>2026</v>
      </c>
      <c r="G83">
        <v>85000000</v>
      </c>
      <c r="H83" t="s">
        <v>129</v>
      </c>
      <c r="I83" t="s">
        <v>13</v>
      </c>
      <c r="J83" t="s">
        <v>63</v>
      </c>
      <c r="K83" s="1" t="s">
        <v>149</v>
      </c>
    </row>
    <row r="84" spans="1:11" x14ac:dyDescent="0.3">
      <c r="A84" t="s">
        <v>158</v>
      </c>
      <c r="B84" t="s">
        <v>10</v>
      </c>
      <c r="C84" t="s">
        <v>136</v>
      </c>
      <c r="D84" t="s">
        <v>92</v>
      </c>
      <c r="E84" t="s">
        <v>11</v>
      </c>
      <c r="F84">
        <v>2025</v>
      </c>
      <c r="G84">
        <v>70000000</v>
      </c>
      <c r="H84" t="s">
        <v>129</v>
      </c>
      <c r="I84" t="s">
        <v>13</v>
      </c>
      <c r="J84" t="s">
        <v>63</v>
      </c>
      <c r="K84" s="1" t="s">
        <v>150</v>
      </c>
    </row>
    <row r="85" spans="1:11" x14ac:dyDescent="0.3">
      <c r="A85" t="s">
        <v>159</v>
      </c>
      <c r="B85" t="s">
        <v>10</v>
      </c>
      <c r="C85" t="s">
        <v>136</v>
      </c>
      <c r="D85" t="s">
        <v>92</v>
      </c>
      <c r="E85" t="s">
        <v>11</v>
      </c>
      <c r="F85">
        <v>2026</v>
      </c>
      <c r="G85">
        <v>95000000</v>
      </c>
      <c r="H85" t="s">
        <v>129</v>
      </c>
      <c r="I85" t="s">
        <v>13</v>
      </c>
      <c r="J85" t="s">
        <v>63</v>
      </c>
      <c r="K85" s="1" t="s">
        <v>150</v>
      </c>
    </row>
    <row r="86" spans="1:11" x14ac:dyDescent="0.3">
      <c r="A86" t="s">
        <v>160</v>
      </c>
      <c r="B86" t="s">
        <v>10</v>
      </c>
      <c r="C86" t="s">
        <v>130</v>
      </c>
      <c r="D86" t="s">
        <v>67</v>
      </c>
      <c r="E86" t="s">
        <v>11</v>
      </c>
      <c r="F86">
        <v>2025</v>
      </c>
      <c r="G86">
        <v>75000000</v>
      </c>
      <c r="H86" t="s">
        <v>129</v>
      </c>
      <c r="I86" t="s">
        <v>13</v>
      </c>
      <c r="J86" t="s">
        <v>63</v>
      </c>
      <c r="K86" s="1" t="s">
        <v>151</v>
      </c>
    </row>
    <row r="87" spans="1:11" x14ac:dyDescent="0.3">
      <c r="A87" t="s">
        <v>161</v>
      </c>
      <c r="B87" t="s">
        <v>10</v>
      </c>
      <c r="C87" t="s">
        <v>131</v>
      </c>
      <c r="D87" t="s">
        <v>67</v>
      </c>
      <c r="E87" t="s">
        <v>11</v>
      </c>
      <c r="F87">
        <v>2025</v>
      </c>
      <c r="G87">
        <v>140000000</v>
      </c>
      <c r="H87" t="s">
        <v>129</v>
      </c>
      <c r="I87" t="s">
        <v>13</v>
      </c>
      <c r="J87" t="s">
        <v>63</v>
      </c>
      <c r="K87" s="1" t="s">
        <v>152</v>
      </c>
    </row>
    <row r="88" spans="1:11" x14ac:dyDescent="0.3">
      <c r="A88" t="s">
        <v>162</v>
      </c>
      <c r="B88" t="s">
        <v>10</v>
      </c>
      <c r="C88" t="s">
        <v>131</v>
      </c>
      <c r="D88" t="s">
        <v>67</v>
      </c>
      <c r="E88" t="s">
        <v>11</v>
      </c>
      <c r="F88">
        <v>2026</v>
      </c>
      <c r="G88">
        <v>190000000</v>
      </c>
      <c r="H88" t="s">
        <v>129</v>
      </c>
      <c r="I88" t="s">
        <v>13</v>
      </c>
      <c r="J88" t="s">
        <v>63</v>
      </c>
      <c r="K88" s="1" t="s">
        <v>152</v>
      </c>
    </row>
    <row r="89" spans="1:11" x14ac:dyDescent="0.3">
      <c r="A89" t="s">
        <v>163</v>
      </c>
      <c r="B89" t="s">
        <v>10</v>
      </c>
      <c r="C89" t="s">
        <v>136</v>
      </c>
      <c r="D89" t="s">
        <v>67</v>
      </c>
      <c r="E89" t="s">
        <v>11</v>
      </c>
      <c r="F89">
        <v>2025</v>
      </c>
      <c r="G89">
        <v>170000000</v>
      </c>
      <c r="H89" t="s">
        <v>129</v>
      </c>
      <c r="I89" t="s">
        <v>13</v>
      </c>
      <c r="J89" t="s">
        <v>63</v>
      </c>
      <c r="K89" s="1" t="s">
        <v>153</v>
      </c>
    </row>
    <row r="90" spans="1:11" x14ac:dyDescent="0.3">
      <c r="A90" t="s">
        <v>164</v>
      </c>
      <c r="B90" t="s">
        <v>10</v>
      </c>
      <c r="C90" t="s">
        <v>136</v>
      </c>
      <c r="D90" t="s">
        <v>67</v>
      </c>
      <c r="E90" t="s">
        <v>11</v>
      </c>
      <c r="F90">
        <v>2026</v>
      </c>
      <c r="G90">
        <v>260000000</v>
      </c>
      <c r="H90" t="s">
        <v>129</v>
      </c>
      <c r="I90" t="s">
        <v>13</v>
      </c>
      <c r="J90" t="s">
        <v>63</v>
      </c>
      <c r="K90" s="1" t="s">
        <v>153</v>
      </c>
    </row>
    <row r="91" spans="1:11" x14ac:dyDescent="0.3">
      <c r="A91" t="s">
        <v>165</v>
      </c>
      <c r="B91" t="s">
        <v>196</v>
      </c>
      <c r="C91" t="s">
        <v>197</v>
      </c>
      <c r="D91" t="s">
        <v>189</v>
      </c>
      <c r="E91" t="s">
        <v>11</v>
      </c>
      <c r="F91">
        <v>2026</v>
      </c>
      <c r="G91">
        <v>3400000</v>
      </c>
      <c r="H91" t="s">
        <v>199</v>
      </c>
      <c r="I91" t="s">
        <v>13</v>
      </c>
      <c r="J91" t="s">
        <v>190</v>
      </c>
      <c r="K91" s="1" t="s">
        <v>200</v>
      </c>
    </row>
    <row r="92" spans="1:11" x14ac:dyDescent="0.3">
      <c r="A92" t="s">
        <v>166</v>
      </c>
      <c r="B92" t="s">
        <v>196</v>
      </c>
      <c r="C92" t="s">
        <v>198</v>
      </c>
      <c r="D92" t="s">
        <v>189</v>
      </c>
      <c r="E92" t="s">
        <v>11</v>
      </c>
      <c r="F92">
        <v>2026</v>
      </c>
      <c r="G92">
        <v>70</v>
      </c>
      <c r="H92" t="s">
        <v>201</v>
      </c>
      <c r="I92" t="s">
        <v>13</v>
      </c>
      <c r="J92" t="s">
        <v>190</v>
      </c>
      <c r="K92" s="1" t="s">
        <v>200</v>
      </c>
    </row>
    <row r="93" spans="1:11" x14ac:dyDescent="0.3">
      <c r="A93" t="s">
        <v>167</v>
      </c>
      <c r="B93" t="s">
        <v>196</v>
      </c>
      <c r="C93" t="s">
        <v>202</v>
      </c>
      <c r="D93" t="s">
        <v>189</v>
      </c>
      <c r="E93" t="s">
        <v>11</v>
      </c>
      <c r="F93">
        <v>2026</v>
      </c>
      <c r="G93">
        <v>40</v>
      </c>
      <c r="H93" t="s">
        <v>204</v>
      </c>
      <c r="I93" t="s">
        <v>13</v>
      </c>
      <c r="J93" t="s">
        <v>190</v>
      </c>
      <c r="K93" s="1" t="s">
        <v>200</v>
      </c>
    </row>
    <row r="94" spans="1:11" x14ac:dyDescent="0.3">
      <c r="A94" t="s">
        <v>168</v>
      </c>
      <c r="B94" t="s">
        <v>196</v>
      </c>
      <c r="C94" t="s">
        <v>203</v>
      </c>
      <c r="D94" t="s">
        <v>189</v>
      </c>
      <c r="E94" t="s">
        <v>11</v>
      </c>
      <c r="F94">
        <v>2026</v>
      </c>
      <c r="G94">
        <v>60</v>
      </c>
      <c r="H94" t="s">
        <v>204</v>
      </c>
      <c r="I94" t="s">
        <v>13</v>
      </c>
      <c r="J94" t="s">
        <v>190</v>
      </c>
      <c r="K94" s="1" t="s">
        <v>200</v>
      </c>
    </row>
    <row r="95" spans="1:11" x14ac:dyDescent="0.3">
      <c r="A95" t="s">
        <v>169</v>
      </c>
      <c r="B95" t="s">
        <v>196</v>
      </c>
      <c r="C95" t="s">
        <v>206</v>
      </c>
      <c r="D95" t="s">
        <v>189</v>
      </c>
      <c r="E95" t="s">
        <v>11</v>
      </c>
      <c r="F95">
        <v>2026</v>
      </c>
      <c r="G95">
        <v>600000</v>
      </c>
      <c r="H95" t="s">
        <v>205</v>
      </c>
      <c r="I95" t="s">
        <v>13</v>
      </c>
      <c r="J95" t="s">
        <v>190</v>
      </c>
      <c r="K95" s="1" t="s">
        <v>200</v>
      </c>
    </row>
    <row r="96" spans="1:11" x14ac:dyDescent="0.3">
      <c r="A96" t="s">
        <v>170</v>
      </c>
      <c r="B96" t="s">
        <v>196</v>
      </c>
      <c r="C96" t="s">
        <v>207</v>
      </c>
      <c r="D96" t="s">
        <v>189</v>
      </c>
      <c r="E96" t="s">
        <v>11</v>
      </c>
      <c r="F96">
        <v>2026</v>
      </c>
      <c r="G96">
        <v>1490000</v>
      </c>
      <c r="H96" t="s">
        <v>199</v>
      </c>
      <c r="I96" t="s">
        <v>13</v>
      </c>
      <c r="J96" t="s">
        <v>191</v>
      </c>
      <c r="K96" s="1" t="s">
        <v>210</v>
      </c>
    </row>
    <row r="97" spans="1:11" x14ac:dyDescent="0.3">
      <c r="A97" t="s">
        <v>171</v>
      </c>
      <c r="B97" t="s">
        <v>196</v>
      </c>
      <c r="C97" t="s">
        <v>208</v>
      </c>
      <c r="D97" t="s">
        <v>189</v>
      </c>
      <c r="E97" t="s">
        <v>11</v>
      </c>
      <c r="F97">
        <v>2026</v>
      </c>
      <c r="G97">
        <v>4690000</v>
      </c>
      <c r="H97" t="s">
        <v>199</v>
      </c>
      <c r="I97" t="s">
        <v>13</v>
      </c>
      <c r="J97" t="s">
        <v>191</v>
      </c>
      <c r="K97" s="1" t="s">
        <v>210</v>
      </c>
    </row>
    <row r="98" spans="1:11" x14ac:dyDescent="0.3">
      <c r="A98" t="s">
        <v>172</v>
      </c>
      <c r="B98" t="s">
        <v>196</v>
      </c>
      <c r="C98" t="s">
        <v>209</v>
      </c>
      <c r="D98" t="s">
        <v>189</v>
      </c>
      <c r="E98" t="s">
        <v>11</v>
      </c>
      <c r="F98">
        <v>2026</v>
      </c>
      <c r="G98">
        <v>2810000</v>
      </c>
      <c r="H98" t="s">
        <v>199</v>
      </c>
      <c r="I98" t="s">
        <v>13</v>
      </c>
      <c r="J98" t="s">
        <v>191</v>
      </c>
      <c r="K98" s="1" t="s">
        <v>210</v>
      </c>
    </row>
    <row r="99" spans="1:11" x14ac:dyDescent="0.3">
      <c r="A99" t="s">
        <v>173</v>
      </c>
      <c r="B99" t="s">
        <v>196</v>
      </c>
      <c r="C99" t="s">
        <v>206</v>
      </c>
      <c r="D99" t="s">
        <v>189</v>
      </c>
      <c r="E99" t="s">
        <v>11</v>
      </c>
      <c r="F99">
        <v>2026</v>
      </c>
      <c r="G99">
        <v>475000</v>
      </c>
      <c r="H99" t="s">
        <v>205</v>
      </c>
      <c r="I99" t="s">
        <v>13</v>
      </c>
      <c r="J99" t="s">
        <v>191</v>
      </c>
      <c r="K99" s="1" t="s">
        <v>210</v>
      </c>
    </row>
    <row r="100" spans="1:11" x14ac:dyDescent="0.3">
      <c r="A100" t="s">
        <v>174</v>
      </c>
      <c r="B100" t="s">
        <v>196</v>
      </c>
      <c r="C100" t="s">
        <v>211</v>
      </c>
      <c r="D100" t="s">
        <v>189</v>
      </c>
      <c r="E100" t="s">
        <v>11</v>
      </c>
      <c r="F100">
        <v>2026</v>
      </c>
      <c r="G100">
        <v>20000000</v>
      </c>
      <c r="H100" t="s">
        <v>215</v>
      </c>
      <c r="I100" t="s">
        <v>13</v>
      </c>
      <c r="J100" t="s">
        <v>192</v>
      </c>
      <c r="K100" s="1" t="s">
        <v>217</v>
      </c>
    </row>
    <row r="101" spans="1:11" x14ac:dyDescent="0.3">
      <c r="A101" t="s">
        <v>175</v>
      </c>
      <c r="B101" t="s">
        <v>196</v>
      </c>
      <c r="C101" t="s">
        <v>212</v>
      </c>
      <c r="D101" t="s">
        <v>189</v>
      </c>
      <c r="E101" t="s">
        <v>11</v>
      </c>
      <c r="F101">
        <v>2026</v>
      </c>
      <c r="G101">
        <v>3.8</v>
      </c>
      <c r="H101" t="s">
        <v>216</v>
      </c>
      <c r="I101" t="s">
        <v>13</v>
      </c>
      <c r="J101" t="s">
        <v>192</v>
      </c>
      <c r="K101" s="1" t="s">
        <v>217</v>
      </c>
    </row>
    <row r="102" spans="1:11" x14ac:dyDescent="0.3">
      <c r="A102" t="s">
        <v>176</v>
      </c>
      <c r="B102" t="s">
        <v>196</v>
      </c>
      <c r="C102" t="s">
        <v>213</v>
      </c>
      <c r="D102" t="s">
        <v>189</v>
      </c>
      <c r="E102" t="s">
        <v>11</v>
      </c>
      <c r="F102">
        <v>2026</v>
      </c>
      <c r="G102">
        <v>80</v>
      </c>
      <c r="H102" t="s">
        <v>201</v>
      </c>
      <c r="I102" t="s">
        <v>13</v>
      </c>
      <c r="J102" t="s">
        <v>193</v>
      </c>
      <c r="K102" s="1" t="s">
        <v>217</v>
      </c>
    </row>
    <row r="103" spans="1:11" x14ac:dyDescent="0.3">
      <c r="A103" t="s">
        <v>177</v>
      </c>
      <c r="B103" t="s">
        <v>196</v>
      </c>
      <c r="C103" t="s">
        <v>214</v>
      </c>
      <c r="D103" t="s">
        <v>189</v>
      </c>
      <c r="E103" t="s">
        <v>11</v>
      </c>
      <c r="F103">
        <v>2026</v>
      </c>
      <c r="G103">
        <v>50</v>
      </c>
      <c r="H103" t="s">
        <v>204</v>
      </c>
      <c r="I103" t="s">
        <v>13</v>
      </c>
      <c r="J103" t="s">
        <v>193</v>
      </c>
      <c r="K103" s="1" t="s">
        <v>217</v>
      </c>
    </row>
    <row r="104" spans="1:11" x14ac:dyDescent="0.3">
      <c r="A104" t="s">
        <v>178</v>
      </c>
      <c r="B104" t="s">
        <v>196</v>
      </c>
      <c r="C104" t="s">
        <v>218</v>
      </c>
      <c r="D104" t="s">
        <v>189</v>
      </c>
      <c r="E104" t="s">
        <v>11</v>
      </c>
      <c r="F104">
        <v>2026</v>
      </c>
      <c r="G104">
        <v>6000</v>
      </c>
      <c r="H104" t="s">
        <v>226</v>
      </c>
      <c r="I104" t="s">
        <v>13</v>
      </c>
      <c r="J104" t="s">
        <v>192</v>
      </c>
      <c r="K104" s="1" t="s">
        <v>217</v>
      </c>
    </row>
    <row r="105" spans="1:11" x14ac:dyDescent="0.3">
      <c r="A105" t="s">
        <v>179</v>
      </c>
      <c r="B105" t="s">
        <v>196</v>
      </c>
      <c r="C105" t="s">
        <v>197</v>
      </c>
      <c r="D105" t="s">
        <v>189</v>
      </c>
      <c r="E105" t="s">
        <v>11</v>
      </c>
      <c r="F105">
        <v>2016</v>
      </c>
      <c r="G105">
        <v>2950000</v>
      </c>
      <c r="H105" t="s">
        <v>199</v>
      </c>
      <c r="I105" t="s">
        <v>13</v>
      </c>
      <c r="J105" t="s">
        <v>194</v>
      </c>
      <c r="K105" s="1" t="s">
        <v>228</v>
      </c>
    </row>
    <row r="106" spans="1:11" x14ac:dyDescent="0.3">
      <c r="A106" t="s">
        <v>180</v>
      </c>
      <c r="B106" t="s">
        <v>196</v>
      </c>
      <c r="C106" t="s">
        <v>197</v>
      </c>
      <c r="D106" t="s">
        <v>189</v>
      </c>
      <c r="E106" t="s">
        <v>11</v>
      </c>
      <c r="F106">
        <v>2025</v>
      </c>
      <c r="G106">
        <v>3400000</v>
      </c>
      <c r="H106" t="s">
        <v>199</v>
      </c>
      <c r="I106" t="s">
        <v>13</v>
      </c>
      <c r="J106" t="s">
        <v>194</v>
      </c>
      <c r="K106" s="1" t="s">
        <v>228</v>
      </c>
    </row>
    <row r="107" spans="1:11" x14ac:dyDescent="0.3">
      <c r="A107" t="s">
        <v>181</v>
      </c>
      <c r="B107" t="s">
        <v>196</v>
      </c>
      <c r="C107" t="s">
        <v>219</v>
      </c>
      <c r="D107" t="s">
        <v>189</v>
      </c>
      <c r="E107" t="s">
        <v>11</v>
      </c>
      <c r="F107">
        <v>2025</v>
      </c>
      <c r="G107">
        <v>12</v>
      </c>
      <c r="H107" t="s">
        <v>227</v>
      </c>
      <c r="I107" t="s">
        <v>13</v>
      </c>
      <c r="J107" t="s">
        <v>194</v>
      </c>
      <c r="K107" s="1" t="s">
        <v>228</v>
      </c>
    </row>
    <row r="108" spans="1:11" x14ac:dyDescent="0.3">
      <c r="A108" t="s">
        <v>182</v>
      </c>
      <c r="B108" t="s">
        <v>196</v>
      </c>
      <c r="C108" t="s">
        <v>220</v>
      </c>
      <c r="D108" t="s">
        <v>189</v>
      </c>
      <c r="E108" t="s">
        <v>11</v>
      </c>
      <c r="F108">
        <v>2025</v>
      </c>
      <c r="G108">
        <v>15</v>
      </c>
      <c r="H108" t="s">
        <v>201</v>
      </c>
      <c r="I108" t="s">
        <v>13</v>
      </c>
      <c r="J108" t="s">
        <v>194</v>
      </c>
      <c r="K108" s="1" t="s">
        <v>228</v>
      </c>
    </row>
    <row r="109" spans="1:11" x14ac:dyDescent="0.3">
      <c r="A109" t="s">
        <v>183</v>
      </c>
      <c r="B109" t="s">
        <v>196</v>
      </c>
      <c r="C109" t="s">
        <v>221</v>
      </c>
      <c r="D109" t="s">
        <v>189</v>
      </c>
      <c r="E109" t="s">
        <v>11</v>
      </c>
      <c r="F109">
        <v>2025</v>
      </c>
      <c r="G109">
        <v>18</v>
      </c>
      <c r="H109" t="s">
        <v>201</v>
      </c>
      <c r="I109" t="s">
        <v>13</v>
      </c>
      <c r="J109" t="s">
        <v>194</v>
      </c>
      <c r="K109" s="1" t="s">
        <v>228</v>
      </c>
    </row>
    <row r="110" spans="1:11" x14ac:dyDescent="0.3">
      <c r="A110" t="s">
        <v>184</v>
      </c>
      <c r="B110" t="s">
        <v>196</v>
      </c>
      <c r="C110" t="s">
        <v>222</v>
      </c>
      <c r="D110" t="s">
        <v>189</v>
      </c>
      <c r="E110" t="s">
        <v>11</v>
      </c>
      <c r="F110">
        <v>2025</v>
      </c>
      <c r="G110">
        <v>15</v>
      </c>
      <c r="H110" t="s">
        <v>201</v>
      </c>
      <c r="I110" t="s">
        <v>13</v>
      </c>
      <c r="J110" t="s">
        <v>194</v>
      </c>
      <c r="K110" s="1" t="s">
        <v>228</v>
      </c>
    </row>
    <row r="111" spans="1:11" x14ac:dyDescent="0.3">
      <c r="A111" t="s">
        <v>185</v>
      </c>
      <c r="B111" t="s">
        <v>196</v>
      </c>
      <c r="C111" t="s">
        <v>223</v>
      </c>
      <c r="D111" t="s">
        <v>189</v>
      </c>
      <c r="E111" t="s">
        <v>11</v>
      </c>
      <c r="F111">
        <v>2026</v>
      </c>
      <c r="G111">
        <v>22000000</v>
      </c>
      <c r="H111" t="s">
        <v>215</v>
      </c>
      <c r="I111" t="s">
        <v>13</v>
      </c>
      <c r="J111" t="s">
        <v>195</v>
      </c>
      <c r="K111" s="1" t="s">
        <v>229</v>
      </c>
    </row>
    <row r="112" spans="1:11" x14ac:dyDescent="0.3">
      <c r="A112" t="s">
        <v>186</v>
      </c>
      <c r="B112" t="s">
        <v>196</v>
      </c>
      <c r="C112" t="s">
        <v>218</v>
      </c>
      <c r="D112" t="s">
        <v>189</v>
      </c>
      <c r="E112" t="s">
        <v>11</v>
      </c>
      <c r="F112">
        <v>2026</v>
      </c>
      <c r="G112">
        <v>6000</v>
      </c>
      <c r="H112" t="s">
        <v>226</v>
      </c>
      <c r="I112" t="s">
        <v>13</v>
      </c>
      <c r="J112" t="s">
        <v>195</v>
      </c>
      <c r="K112" s="1" t="s">
        <v>229</v>
      </c>
    </row>
    <row r="113" spans="1:11" x14ac:dyDescent="0.3">
      <c r="A113" t="s">
        <v>187</v>
      </c>
      <c r="B113" t="s">
        <v>196</v>
      </c>
      <c r="C113" t="s">
        <v>224</v>
      </c>
      <c r="D113" t="s">
        <v>189</v>
      </c>
      <c r="E113" t="s">
        <v>11</v>
      </c>
      <c r="F113">
        <v>2026</v>
      </c>
      <c r="G113">
        <v>3000</v>
      </c>
      <c r="H113" t="s">
        <v>226</v>
      </c>
      <c r="I113" t="s">
        <v>13</v>
      </c>
      <c r="J113" t="s">
        <v>195</v>
      </c>
      <c r="K113" s="1" t="s">
        <v>229</v>
      </c>
    </row>
    <row r="114" spans="1:11" x14ac:dyDescent="0.3">
      <c r="A114" t="s">
        <v>188</v>
      </c>
      <c r="B114" t="s">
        <v>196</v>
      </c>
      <c r="C114" t="s">
        <v>225</v>
      </c>
      <c r="D114" t="s">
        <v>189</v>
      </c>
      <c r="E114" t="s">
        <v>11</v>
      </c>
      <c r="F114">
        <v>2026</v>
      </c>
      <c r="G114">
        <v>3400000</v>
      </c>
      <c r="H114" t="s">
        <v>199</v>
      </c>
      <c r="I114" t="s">
        <v>13</v>
      </c>
      <c r="J114" t="s">
        <v>195</v>
      </c>
      <c r="K114" s="1" t="s">
        <v>229</v>
      </c>
    </row>
    <row r="115" spans="1:11" x14ac:dyDescent="0.3">
      <c r="A115" t="s">
        <v>230</v>
      </c>
      <c r="B115" t="s">
        <v>237</v>
      </c>
      <c r="C115" t="s">
        <v>207</v>
      </c>
      <c r="D115" t="s">
        <v>189</v>
      </c>
      <c r="E115" t="s">
        <v>11</v>
      </c>
      <c r="F115">
        <v>2026</v>
      </c>
      <c r="G115" s="3">
        <v>1490000</v>
      </c>
      <c r="H115" t="s">
        <v>199</v>
      </c>
      <c r="I115" t="s">
        <v>13</v>
      </c>
      <c r="J115" t="s">
        <v>191</v>
      </c>
      <c r="K115" s="1" t="s">
        <v>210</v>
      </c>
    </row>
    <row r="116" spans="1:11" x14ac:dyDescent="0.3">
      <c r="A116" t="s">
        <v>231</v>
      </c>
      <c r="B116" t="s">
        <v>237</v>
      </c>
      <c r="C116" t="s">
        <v>197</v>
      </c>
      <c r="D116" t="s">
        <v>189</v>
      </c>
      <c r="E116" t="s">
        <v>11</v>
      </c>
      <c r="F116">
        <v>2026</v>
      </c>
      <c r="G116" s="3">
        <v>2810000</v>
      </c>
      <c r="H116" t="s">
        <v>199</v>
      </c>
      <c r="I116" t="s">
        <v>13</v>
      </c>
      <c r="J116" t="s">
        <v>191</v>
      </c>
      <c r="K116" s="1" t="s">
        <v>210</v>
      </c>
    </row>
    <row r="117" spans="1:11" x14ac:dyDescent="0.3">
      <c r="A117" t="s">
        <v>232</v>
      </c>
      <c r="B117" t="s">
        <v>237</v>
      </c>
      <c r="C117" t="s">
        <v>240</v>
      </c>
      <c r="D117" t="s">
        <v>189</v>
      </c>
      <c r="E117" t="s">
        <v>11</v>
      </c>
      <c r="F117">
        <v>2026</v>
      </c>
      <c r="G117" s="3">
        <v>34800</v>
      </c>
      <c r="H117" t="s">
        <v>199</v>
      </c>
      <c r="I117" t="s">
        <v>13</v>
      </c>
      <c r="J117" t="s">
        <v>239</v>
      </c>
      <c r="K117" s="1" t="s">
        <v>238</v>
      </c>
    </row>
    <row r="118" spans="1:11" x14ac:dyDescent="0.3">
      <c r="A118" t="s">
        <v>233</v>
      </c>
      <c r="B118" t="s">
        <v>237</v>
      </c>
      <c r="C118" t="s">
        <v>243</v>
      </c>
      <c r="D118" t="s">
        <v>189</v>
      </c>
      <c r="E118" t="s">
        <v>11</v>
      </c>
      <c r="F118">
        <v>2026</v>
      </c>
      <c r="G118" s="3">
        <v>227576</v>
      </c>
      <c r="H118" t="s">
        <v>242</v>
      </c>
      <c r="I118" t="s">
        <v>13</v>
      </c>
      <c r="J118" t="s">
        <v>192</v>
      </c>
      <c r="K118" s="1" t="s">
        <v>241</v>
      </c>
    </row>
    <row r="119" spans="1:11" x14ac:dyDescent="0.3">
      <c r="A119" t="s">
        <v>234</v>
      </c>
      <c r="B119" t="s">
        <v>237</v>
      </c>
      <c r="C119" t="s">
        <v>245</v>
      </c>
      <c r="D119" t="s">
        <v>189</v>
      </c>
      <c r="E119" t="s">
        <v>11</v>
      </c>
      <c r="F119">
        <v>2026</v>
      </c>
      <c r="G119" s="3">
        <v>5</v>
      </c>
      <c r="H119" t="s">
        <v>247</v>
      </c>
      <c r="I119" t="s">
        <v>13</v>
      </c>
      <c r="J119" t="s">
        <v>250</v>
      </c>
      <c r="K119" s="1" t="s">
        <v>252</v>
      </c>
    </row>
    <row r="120" spans="1:11" x14ac:dyDescent="0.3">
      <c r="A120" t="s">
        <v>235</v>
      </c>
      <c r="B120" t="s">
        <v>237</v>
      </c>
      <c r="C120" t="s">
        <v>244</v>
      </c>
      <c r="D120" t="s">
        <v>189</v>
      </c>
      <c r="E120" t="s">
        <v>11</v>
      </c>
      <c r="F120">
        <v>2026</v>
      </c>
      <c r="G120" s="3">
        <v>55</v>
      </c>
      <c r="H120" t="s">
        <v>248</v>
      </c>
      <c r="I120" t="s">
        <v>13</v>
      </c>
      <c r="J120" t="s">
        <v>250</v>
      </c>
      <c r="K120" s="1" t="s">
        <v>252</v>
      </c>
    </row>
    <row r="121" spans="1:11" x14ac:dyDescent="0.3">
      <c r="A121" t="s">
        <v>236</v>
      </c>
      <c r="B121" t="s">
        <v>237</v>
      </c>
      <c r="C121" t="s">
        <v>246</v>
      </c>
      <c r="D121" t="s">
        <v>189</v>
      </c>
      <c r="E121" t="s">
        <v>11</v>
      </c>
      <c r="F121" s="2">
        <v>45901</v>
      </c>
      <c r="G121" s="3">
        <v>10200</v>
      </c>
      <c r="H121" t="s">
        <v>249</v>
      </c>
      <c r="I121" t="s">
        <v>13</v>
      </c>
      <c r="J121" t="s">
        <v>251</v>
      </c>
      <c r="K121" s="1" t="s">
        <v>253</v>
      </c>
    </row>
    <row r="122" spans="1:11" x14ac:dyDescent="0.3">
      <c r="A122" t="s">
        <v>256</v>
      </c>
      <c r="B122" t="s">
        <v>276</v>
      </c>
      <c r="C122" t="s">
        <v>265</v>
      </c>
      <c r="D122" t="s">
        <v>258</v>
      </c>
      <c r="E122" t="s">
        <v>11</v>
      </c>
      <c r="F122">
        <v>2021</v>
      </c>
      <c r="G122">
        <v>16.95</v>
      </c>
      <c r="H122" t="s">
        <v>201</v>
      </c>
      <c r="I122" t="s">
        <v>13</v>
      </c>
      <c r="J122" t="s">
        <v>259</v>
      </c>
      <c r="K122" s="1" t="s">
        <v>260</v>
      </c>
    </row>
    <row r="123" spans="1:11" x14ac:dyDescent="0.3">
      <c r="A123" t="s">
        <v>261</v>
      </c>
      <c r="B123" t="s">
        <v>276</v>
      </c>
      <c r="C123" t="s">
        <v>265</v>
      </c>
      <c r="D123" t="s">
        <v>258</v>
      </c>
      <c r="E123" t="s">
        <v>11</v>
      </c>
      <c r="F123">
        <v>2022</v>
      </c>
      <c r="G123">
        <v>18.850000000000001</v>
      </c>
      <c r="H123" t="s">
        <v>201</v>
      </c>
      <c r="I123" t="s">
        <v>13</v>
      </c>
      <c r="J123" t="s">
        <v>259</v>
      </c>
      <c r="K123" s="1" t="s">
        <v>260</v>
      </c>
    </row>
    <row r="124" spans="1:11" x14ac:dyDescent="0.3">
      <c r="A124" t="s">
        <v>262</v>
      </c>
      <c r="B124" t="s">
        <v>276</v>
      </c>
      <c r="C124" t="s">
        <v>265</v>
      </c>
      <c r="D124" t="s">
        <v>258</v>
      </c>
      <c r="E124" t="s">
        <v>11</v>
      </c>
      <c r="F124">
        <v>2023</v>
      </c>
      <c r="G124">
        <v>24.66</v>
      </c>
      <c r="H124" t="s">
        <v>201</v>
      </c>
      <c r="I124" t="s">
        <v>13</v>
      </c>
      <c r="J124" t="s">
        <v>259</v>
      </c>
      <c r="K124" s="1" t="s">
        <v>260</v>
      </c>
    </row>
    <row r="125" spans="1:11" x14ac:dyDescent="0.3">
      <c r="A125" t="s">
        <v>263</v>
      </c>
      <c r="B125" t="s">
        <v>276</v>
      </c>
      <c r="C125" t="s">
        <v>265</v>
      </c>
      <c r="D125" t="s">
        <v>258</v>
      </c>
      <c r="E125" t="s">
        <v>11</v>
      </c>
      <c r="F125">
        <v>2024</v>
      </c>
      <c r="G125">
        <v>33.24</v>
      </c>
      <c r="H125" t="s">
        <v>201</v>
      </c>
      <c r="I125" t="s">
        <v>13</v>
      </c>
      <c r="J125" t="s">
        <v>259</v>
      </c>
      <c r="K125" s="1" t="s">
        <v>260</v>
      </c>
    </row>
    <row r="126" spans="1:11" x14ac:dyDescent="0.3">
      <c r="A126" t="s">
        <v>264</v>
      </c>
      <c r="B126" t="s">
        <v>276</v>
      </c>
      <c r="C126" t="s">
        <v>265</v>
      </c>
      <c r="D126" t="s">
        <v>258</v>
      </c>
      <c r="E126" t="s">
        <v>11</v>
      </c>
      <c r="F126">
        <v>2025</v>
      </c>
      <c r="G126">
        <v>23.01</v>
      </c>
      <c r="H126" t="s">
        <v>201</v>
      </c>
      <c r="I126" t="s">
        <v>13</v>
      </c>
      <c r="J126" t="s">
        <v>259</v>
      </c>
      <c r="K126" s="1" t="s">
        <v>260</v>
      </c>
    </row>
    <row r="127" spans="1:11" x14ac:dyDescent="0.3">
      <c r="A127" t="s">
        <v>267</v>
      </c>
      <c r="B127" t="s">
        <v>276</v>
      </c>
      <c r="C127" t="s">
        <v>273</v>
      </c>
      <c r="D127" t="s">
        <v>258</v>
      </c>
      <c r="E127" t="s">
        <v>11</v>
      </c>
      <c r="F127">
        <v>2020</v>
      </c>
      <c r="G127">
        <v>-6.37</v>
      </c>
      <c r="H127" t="s">
        <v>201</v>
      </c>
      <c r="I127" t="s">
        <v>13</v>
      </c>
      <c r="J127" t="s">
        <v>274</v>
      </c>
      <c r="K127" s="1" t="s">
        <v>275</v>
      </c>
    </row>
    <row r="128" spans="1:11" x14ac:dyDescent="0.3">
      <c r="A128" t="s">
        <v>268</v>
      </c>
      <c r="B128" t="s">
        <v>276</v>
      </c>
      <c r="C128" t="s">
        <v>273</v>
      </c>
      <c r="D128" t="s">
        <v>258</v>
      </c>
      <c r="E128" t="s">
        <v>11</v>
      </c>
      <c r="F128">
        <v>2021</v>
      </c>
      <c r="G128">
        <v>1.1100000000000001</v>
      </c>
      <c r="H128" t="s">
        <v>201</v>
      </c>
      <c r="I128" t="s">
        <v>13</v>
      </c>
      <c r="J128" t="s">
        <v>274</v>
      </c>
      <c r="K128" s="1" t="s">
        <v>275</v>
      </c>
    </row>
    <row r="129" spans="1:11" x14ac:dyDescent="0.3">
      <c r="A129" t="s">
        <v>269</v>
      </c>
      <c r="B129" t="s">
        <v>276</v>
      </c>
      <c r="C129" t="s">
        <v>273</v>
      </c>
      <c r="D129" t="s">
        <v>258</v>
      </c>
      <c r="E129" t="s">
        <v>11</v>
      </c>
      <c r="F129">
        <v>2022</v>
      </c>
      <c r="G129">
        <v>4.32</v>
      </c>
      <c r="H129" t="s">
        <v>201</v>
      </c>
      <c r="I129" t="s">
        <v>13</v>
      </c>
      <c r="J129" t="s">
        <v>274</v>
      </c>
      <c r="K129" s="1" t="s">
        <v>275</v>
      </c>
    </row>
    <row r="130" spans="1:11" x14ac:dyDescent="0.3">
      <c r="A130" t="s">
        <v>270</v>
      </c>
      <c r="B130" t="s">
        <v>276</v>
      </c>
      <c r="C130" t="s">
        <v>273</v>
      </c>
      <c r="D130" t="s">
        <v>258</v>
      </c>
      <c r="E130" t="s">
        <v>11</v>
      </c>
      <c r="F130">
        <v>2023</v>
      </c>
      <c r="G130">
        <v>3.33</v>
      </c>
      <c r="H130" t="s">
        <v>201</v>
      </c>
      <c r="I130" t="s">
        <v>13</v>
      </c>
      <c r="J130" t="s">
        <v>274</v>
      </c>
      <c r="K130" s="1" t="s">
        <v>275</v>
      </c>
    </row>
    <row r="131" spans="1:11" x14ac:dyDescent="0.3">
      <c r="A131" t="s">
        <v>271</v>
      </c>
      <c r="B131" t="s">
        <v>276</v>
      </c>
      <c r="C131" t="s">
        <v>273</v>
      </c>
      <c r="D131" t="s">
        <v>258</v>
      </c>
      <c r="E131" t="s">
        <v>11</v>
      </c>
      <c r="F131">
        <v>2024</v>
      </c>
      <c r="G131">
        <v>3.38</v>
      </c>
      <c r="H131" t="s">
        <v>201</v>
      </c>
      <c r="I131" t="s">
        <v>13</v>
      </c>
      <c r="J131" t="s">
        <v>274</v>
      </c>
      <c r="K131" s="1" t="s">
        <v>275</v>
      </c>
    </row>
    <row r="132" spans="1:11" x14ac:dyDescent="0.3">
      <c r="A132" t="s">
        <v>272</v>
      </c>
      <c r="B132" t="s">
        <v>276</v>
      </c>
      <c r="C132" t="s">
        <v>273</v>
      </c>
      <c r="D132" t="s">
        <v>258</v>
      </c>
      <c r="E132" t="s">
        <v>11</v>
      </c>
      <c r="F132">
        <v>2025</v>
      </c>
      <c r="G132">
        <v>3.87</v>
      </c>
      <c r="H132" t="s">
        <v>201</v>
      </c>
      <c r="I132" t="s">
        <v>13</v>
      </c>
      <c r="J132" t="s">
        <v>274</v>
      </c>
      <c r="K132" s="1" t="s">
        <v>275</v>
      </c>
    </row>
    <row r="133" spans="1:11" x14ac:dyDescent="0.3">
      <c r="A133" t="s">
        <v>277</v>
      </c>
      <c r="B133" t="s">
        <v>276</v>
      </c>
      <c r="C133" t="s">
        <v>281</v>
      </c>
      <c r="D133" t="s">
        <v>258</v>
      </c>
      <c r="E133" t="s">
        <v>11</v>
      </c>
      <c r="F133">
        <v>2024</v>
      </c>
      <c r="G133">
        <v>1535</v>
      </c>
      <c r="H133" t="s">
        <v>282</v>
      </c>
      <c r="I133" t="s">
        <v>13</v>
      </c>
      <c r="J133" t="s">
        <v>283</v>
      </c>
      <c r="K133" s="1" t="s">
        <v>284</v>
      </c>
    </row>
    <row r="134" spans="1:11" x14ac:dyDescent="0.3">
      <c r="A134" t="s">
        <v>278</v>
      </c>
      <c r="B134" t="s">
        <v>276</v>
      </c>
      <c r="C134" t="s">
        <v>281</v>
      </c>
      <c r="D134" t="s">
        <v>258</v>
      </c>
      <c r="E134" t="s">
        <v>11</v>
      </c>
      <c r="F134">
        <v>2025</v>
      </c>
      <c r="G134">
        <v>1429</v>
      </c>
      <c r="H134" t="s">
        <v>282</v>
      </c>
      <c r="I134" t="s">
        <v>13</v>
      </c>
      <c r="J134" t="s">
        <v>283</v>
      </c>
      <c r="K134" s="1" t="s">
        <v>284</v>
      </c>
    </row>
    <row r="135" spans="1:11" x14ac:dyDescent="0.3">
      <c r="A135" t="s">
        <v>279</v>
      </c>
      <c r="B135" t="s">
        <v>276</v>
      </c>
      <c r="C135" t="s">
        <v>285</v>
      </c>
      <c r="D135" t="s">
        <v>258</v>
      </c>
      <c r="E135" t="s">
        <v>11</v>
      </c>
      <c r="F135">
        <v>2024</v>
      </c>
      <c r="G135">
        <v>27.5</v>
      </c>
      <c r="H135" t="s">
        <v>201</v>
      </c>
      <c r="I135" t="s">
        <v>13</v>
      </c>
      <c r="J135" t="s">
        <v>286</v>
      </c>
      <c r="K135" s="1" t="s">
        <v>287</v>
      </c>
    </row>
    <row r="136" spans="1:11" x14ac:dyDescent="0.3">
      <c r="A136" t="s">
        <v>280</v>
      </c>
      <c r="B136" t="s">
        <v>276</v>
      </c>
      <c r="C136" t="s">
        <v>285</v>
      </c>
      <c r="D136" t="s">
        <v>258</v>
      </c>
      <c r="E136" t="s">
        <v>11</v>
      </c>
      <c r="F136">
        <v>2025</v>
      </c>
      <c r="G136">
        <v>27</v>
      </c>
      <c r="H136" t="s">
        <v>201</v>
      </c>
      <c r="I136" t="s">
        <v>13</v>
      </c>
      <c r="J136" t="s">
        <v>286</v>
      </c>
      <c r="K136" s="1" t="s">
        <v>287</v>
      </c>
    </row>
    <row r="137" spans="1:11" x14ac:dyDescent="0.3">
      <c r="A137" t="s">
        <v>392</v>
      </c>
      <c r="B137" t="s">
        <v>288</v>
      </c>
      <c r="C137" t="s">
        <v>289</v>
      </c>
      <c r="D137" t="s">
        <v>189</v>
      </c>
      <c r="E137" t="s">
        <v>11</v>
      </c>
      <c r="F137" t="s">
        <v>307</v>
      </c>
      <c r="G137">
        <v>10</v>
      </c>
      <c r="H137" t="s">
        <v>309</v>
      </c>
      <c r="I137" t="s">
        <v>13</v>
      </c>
      <c r="J137" t="s">
        <v>317</v>
      </c>
      <c r="K137" s="1" t="s">
        <v>322</v>
      </c>
    </row>
    <row r="138" spans="1:11" x14ac:dyDescent="0.3">
      <c r="A138" t="s">
        <v>393</v>
      </c>
      <c r="B138" t="s">
        <v>288</v>
      </c>
      <c r="C138" t="s">
        <v>290</v>
      </c>
      <c r="D138" t="s">
        <v>189</v>
      </c>
      <c r="E138" t="s">
        <v>11</v>
      </c>
      <c r="F138" t="s">
        <v>307</v>
      </c>
      <c r="G138">
        <v>15</v>
      </c>
      <c r="H138" t="s">
        <v>310</v>
      </c>
      <c r="I138" t="s">
        <v>13</v>
      </c>
      <c r="J138" t="s">
        <v>317</v>
      </c>
      <c r="K138" s="1" t="s">
        <v>322</v>
      </c>
    </row>
    <row r="139" spans="1:11" x14ac:dyDescent="0.3">
      <c r="A139" t="s">
        <v>394</v>
      </c>
      <c r="B139" t="s">
        <v>288</v>
      </c>
      <c r="C139" t="s">
        <v>305</v>
      </c>
      <c r="D139" t="s">
        <v>189</v>
      </c>
      <c r="E139" t="s">
        <v>11</v>
      </c>
      <c r="F139" t="s">
        <v>307</v>
      </c>
      <c r="G139">
        <v>12.5</v>
      </c>
      <c r="H139" t="s">
        <v>311</v>
      </c>
      <c r="I139" t="s">
        <v>13</v>
      </c>
      <c r="J139" t="s">
        <v>317</v>
      </c>
      <c r="K139" s="1" t="s">
        <v>322</v>
      </c>
    </row>
    <row r="140" spans="1:11" x14ac:dyDescent="0.3">
      <c r="A140" t="s">
        <v>395</v>
      </c>
      <c r="B140" t="s">
        <v>288</v>
      </c>
      <c r="C140" t="s">
        <v>292</v>
      </c>
      <c r="D140" t="s">
        <v>189</v>
      </c>
      <c r="E140" t="s">
        <v>11</v>
      </c>
      <c r="F140">
        <v>2025</v>
      </c>
      <c r="G140">
        <v>3</v>
      </c>
      <c r="H140" t="s">
        <v>312</v>
      </c>
      <c r="I140" t="s">
        <v>13</v>
      </c>
      <c r="J140" t="s">
        <v>318</v>
      </c>
      <c r="K140" s="1" t="s">
        <v>323</v>
      </c>
    </row>
    <row r="141" spans="1:11" x14ac:dyDescent="0.3">
      <c r="A141" t="s">
        <v>396</v>
      </c>
      <c r="B141" t="s">
        <v>288</v>
      </c>
      <c r="C141" t="s">
        <v>293</v>
      </c>
      <c r="D141" t="s">
        <v>189</v>
      </c>
      <c r="E141" t="s">
        <v>11</v>
      </c>
      <c r="F141">
        <v>2025</v>
      </c>
      <c r="G141">
        <v>1</v>
      </c>
      <c r="H141" t="s">
        <v>313</v>
      </c>
      <c r="I141" t="s">
        <v>13</v>
      </c>
      <c r="J141" t="s">
        <v>318</v>
      </c>
      <c r="K141" s="1" t="s">
        <v>323</v>
      </c>
    </row>
    <row r="142" spans="1:11" x14ac:dyDescent="0.3">
      <c r="A142" t="s">
        <v>397</v>
      </c>
      <c r="B142" t="s">
        <v>288</v>
      </c>
      <c r="C142" t="s">
        <v>294</v>
      </c>
      <c r="D142" t="s">
        <v>189</v>
      </c>
      <c r="E142" t="s">
        <v>11</v>
      </c>
      <c r="F142">
        <v>2025</v>
      </c>
      <c r="G142">
        <v>5</v>
      </c>
      <c r="H142" t="s">
        <v>309</v>
      </c>
      <c r="I142" t="s">
        <v>13</v>
      </c>
      <c r="J142" t="s">
        <v>318</v>
      </c>
      <c r="K142" s="1" t="s">
        <v>323</v>
      </c>
    </row>
    <row r="143" spans="1:11" x14ac:dyDescent="0.3">
      <c r="A143" t="s">
        <v>398</v>
      </c>
      <c r="B143" t="s">
        <v>288</v>
      </c>
      <c r="C143" t="s">
        <v>295</v>
      </c>
      <c r="D143" t="s">
        <v>258</v>
      </c>
      <c r="E143" t="s">
        <v>11</v>
      </c>
      <c r="F143">
        <v>2025</v>
      </c>
      <c r="G143">
        <v>0</v>
      </c>
      <c r="H143" t="s">
        <v>201</v>
      </c>
      <c r="I143" t="s">
        <v>13</v>
      </c>
      <c r="J143" t="s">
        <v>319</v>
      </c>
      <c r="K143" s="1" t="s">
        <v>324</v>
      </c>
    </row>
    <row r="144" spans="1:11" x14ac:dyDescent="0.3">
      <c r="A144" t="s">
        <v>399</v>
      </c>
      <c r="B144" t="s">
        <v>288</v>
      </c>
      <c r="C144" t="s">
        <v>296</v>
      </c>
      <c r="D144" t="s">
        <v>258</v>
      </c>
      <c r="E144" t="s">
        <v>11</v>
      </c>
      <c r="F144">
        <v>2025</v>
      </c>
      <c r="G144">
        <v>7.5</v>
      </c>
      <c r="H144" t="s">
        <v>201</v>
      </c>
      <c r="I144" t="s">
        <v>13</v>
      </c>
      <c r="J144" t="s">
        <v>319</v>
      </c>
      <c r="K144" s="1" t="s">
        <v>324</v>
      </c>
    </row>
    <row r="145" spans="1:11" x14ac:dyDescent="0.3">
      <c r="A145" t="s">
        <v>400</v>
      </c>
      <c r="B145" t="s">
        <v>288</v>
      </c>
      <c r="C145" t="s">
        <v>297</v>
      </c>
      <c r="D145" t="s">
        <v>189</v>
      </c>
      <c r="E145" t="s">
        <v>11</v>
      </c>
      <c r="F145">
        <v>2025</v>
      </c>
      <c r="G145">
        <v>1.5</v>
      </c>
      <c r="H145" t="s">
        <v>201</v>
      </c>
      <c r="I145" t="s">
        <v>13</v>
      </c>
      <c r="J145" t="s">
        <v>319</v>
      </c>
      <c r="K145" s="1" t="s">
        <v>324</v>
      </c>
    </row>
    <row r="146" spans="1:11" x14ac:dyDescent="0.3">
      <c r="A146" t="s">
        <v>401</v>
      </c>
      <c r="B146" t="s">
        <v>288</v>
      </c>
      <c r="C146" t="s">
        <v>298</v>
      </c>
      <c r="D146" t="s">
        <v>189</v>
      </c>
      <c r="E146" t="s">
        <v>11</v>
      </c>
      <c r="F146">
        <v>2025</v>
      </c>
      <c r="G146">
        <v>0.5</v>
      </c>
      <c r="H146" t="s">
        <v>201</v>
      </c>
      <c r="I146" t="s">
        <v>13</v>
      </c>
      <c r="J146" t="s">
        <v>319</v>
      </c>
      <c r="K146" s="1" t="s">
        <v>324</v>
      </c>
    </row>
    <row r="147" spans="1:11" x14ac:dyDescent="0.3">
      <c r="A147" t="s">
        <v>402</v>
      </c>
      <c r="B147" t="s">
        <v>288</v>
      </c>
      <c r="C147" t="s">
        <v>299</v>
      </c>
      <c r="D147" t="s">
        <v>258</v>
      </c>
      <c r="E147" t="s">
        <v>11</v>
      </c>
      <c r="F147">
        <v>2025</v>
      </c>
      <c r="G147" t="s">
        <v>308</v>
      </c>
      <c r="H147" t="s">
        <v>201</v>
      </c>
      <c r="I147" t="s">
        <v>13</v>
      </c>
      <c r="J147" t="s">
        <v>319</v>
      </c>
      <c r="K147" s="1" t="s">
        <v>324</v>
      </c>
    </row>
    <row r="148" spans="1:11" x14ac:dyDescent="0.3">
      <c r="A148" t="s">
        <v>403</v>
      </c>
      <c r="B148" t="s">
        <v>288</v>
      </c>
      <c r="C148" t="s">
        <v>300</v>
      </c>
      <c r="D148" t="s">
        <v>258</v>
      </c>
      <c r="E148" t="s">
        <v>11</v>
      </c>
      <c r="F148">
        <v>2025</v>
      </c>
      <c r="G148">
        <v>30</v>
      </c>
      <c r="H148" t="s">
        <v>201</v>
      </c>
      <c r="I148" t="s">
        <v>13</v>
      </c>
      <c r="J148" t="s">
        <v>319</v>
      </c>
      <c r="K148" s="1" t="s">
        <v>324</v>
      </c>
    </row>
    <row r="149" spans="1:11" x14ac:dyDescent="0.3">
      <c r="A149" t="s">
        <v>404</v>
      </c>
      <c r="B149" t="s">
        <v>288</v>
      </c>
      <c r="C149" t="s">
        <v>301</v>
      </c>
      <c r="D149" t="s">
        <v>258</v>
      </c>
      <c r="E149" t="s">
        <v>11</v>
      </c>
      <c r="F149">
        <v>2026</v>
      </c>
      <c r="G149">
        <v>40</v>
      </c>
      <c r="H149" t="s">
        <v>314</v>
      </c>
      <c r="I149" t="s">
        <v>13</v>
      </c>
      <c r="J149" t="s">
        <v>320</v>
      </c>
      <c r="K149" s="1" t="s">
        <v>325</v>
      </c>
    </row>
    <row r="150" spans="1:11" x14ac:dyDescent="0.3">
      <c r="A150" t="s">
        <v>405</v>
      </c>
      <c r="B150" t="s">
        <v>288</v>
      </c>
      <c r="C150" t="s">
        <v>302</v>
      </c>
      <c r="D150" t="s">
        <v>258</v>
      </c>
      <c r="E150" t="s">
        <v>11</v>
      </c>
      <c r="F150">
        <v>2026</v>
      </c>
      <c r="G150">
        <v>2000</v>
      </c>
      <c r="H150" t="s">
        <v>315</v>
      </c>
      <c r="I150" t="s">
        <v>13</v>
      </c>
      <c r="J150" t="s">
        <v>320</v>
      </c>
      <c r="K150" s="1" t="s">
        <v>325</v>
      </c>
    </row>
    <row r="151" spans="1:11" x14ac:dyDescent="0.3">
      <c r="A151" t="s">
        <v>406</v>
      </c>
      <c r="B151" t="s">
        <v>288</v>
      </c>
      <c r="C151" t="s">
        <v>303</v>
      </c>
      <c r="D151" t="s">
        <v>258</v>
      </c>
      <c r="E151" t="s">
        <v>11</v>
      </c>
      <c r="F151">
        <v>2026</v>
      </c>
      <c r="G151">
        <v>14900000</v>
      </c>
      <c r="H151" t="s">
        <v>199</v>
      </c>
      <c r="I151" t="s">
        <v>13</v>
      </c>
      <c r="J151" t="s">
        <v>320</v>
      </c>
      <c r="K151" s="1" t="s">
        <v>325</v>
      </c>
    </row>
    <row r="152" spans="1:11" x14ac:dyDescent="0.3">
      <c r="A152" t="s">
        <v>407</v>
      </c>
      <c r="B152" t="s">
        <v>288</v>
      </c>
      <c r="C152" t="s">
        <v>304</v>
      </c>
      <c r="D152" t="s">
        <v>189</v>
      </c>
      <c r="E152" t="s">
        <v>11</v>
      </c>
      <c r="F152">
        <v>2025</v>
      </c>
      <c r="G152">
        <v>1000000</v>
      </c>
      <c r="H152" t="s">
        <v>129</v>
      </c>
      <c r="I152" t="s">
        <v>13</v>
      </c>
      <c r="J152" t="s">
        <v>321</v>
      </c>
      <c r="K152" s="1" t="s">
        <v>326</v>
      </c>
    </row>
    <row r="153" spans="1:11" x14ac:dyDescent="0.3">
      <c r="A153" t="s">
        <v>408</v>
      </c>
      <c r="B153" t="s">
        <v>288</v>
      </c>
      <c r="C153" t="s">
        <v>306</v>
      </c>
      <c r="D153" t="s">
        <v>189</v>
      </c>
      <c r="E153" t="s">
        <v>11</v>
      </c>
      <c r="F153">
        <v>2025</v>
      </c>
      <c r="G153">
        <v>14</v>
      </c>
      <c r="H153" t="s">
        <v>316</v>
      </c>
      <c r="I153" t="s">
        <v>13</v>
      </c>
      <c r="J153" t="s">
        <v>321</v>
      </c>
      <c r="K153" s="1" t="s">
        <v>326</v>
      </c>
    </row>
    <row r="154" spans="1:11" x14ac:dyDescent="0.3">
      <c r="A154" t="s">
        <v>327</v>
      </c>
      <c r="B154" t="s">
        <v>344</v>
      </c>
      <c r="C154" t="s">
        <v>345</v>
      </c>
      <c r="D154" t="s">
        <v>189</v>
      </c>
      <c r="E154" t="s">
        <v>11</v>
      </c>
      <c r="F154" t="s">
        <v>307</v>
      </c>
      <c r="G154">
        <v>10</v>
      </c>
      <c r="H154" t="s">
        <v>372</v>
      </c>
      <c r="I154" t="s">
        <v>13</v>
      </c>
      <c r="J154" t="s">
        <v>378</v>
      </c>
      <c r="K154" t="s">
        <v>386</v>
      </c>
    </row>
    <row r="155" spans="1:11" x14ac:dyDescent="0.3">
      <c r="A155" t="s">
        <v>328</v>
      </c>
      <c r="B155" t="s">
        <v>344</v>
      </c>
      <c r="C155" t="s">
        <v>347</v>
      </c>
      <c r="D155" t="s">
        <v>189</v>
      </c>
      <c r="E155" t="s">
        <v>11</v>
      </c>
      <c r="F155" t="s">
        <v>307</v>
      </c>
      <c r="G155" t="s">
        <v>360</v>
      </c>
      <c r="H155" t="s">
        <v>4</v>
      </c>
      <c r="I155" t="s">
        <v>13</v>
      </c>
      <c r="J155" t="s">
        <v>378</v>
      </c>
      <c r="K155" s="1" t="s">
        <v>386</v>
      </c>
    </row>
    <row r="156" spans="1:11" x14ac:dyDescent="0.3">
      <c r="A156" t="s">
        <v>329</v>
      </c>
      <c r="B156" t="s">
        <v>344</v>
      </c>
      <c r="C156" t="s">
        <v>346</v>
      </c>
      <c r="D156" t="s">
        <v>355</v>
      </c>
      <c r="E156" t="s">
        <v>11</v>
      </c>
      <c r="F156" t="s">
        <v>307</v>
      </c>
      <c r="G156" t="s">
        <v>361</v>
      </c>
      <c r="H156" t="s">
        <v>352</v>
      </c>
      <c r="I156" t="s">
        <v>13</v>
      </c>
      <c r="J156" t="s">
        <v>379</v>
      </c>
      <c r="K156" t="s">
        <v>387</v>
      </c>
    </row>
    <row r="157" spans="1:11" x14ac:dyDescent="0.3">
      <c r="A157" t="s">
        <v>330</v>
      </c>
      <c r="B157" t="s">
        <v>344</v>
      </c>
      <c r="C157" t="s">
        <v>347</v>
      </c>
      <c r="D157" t="s">
        <v>189</v>
      </c>
      <c r="E157" t="s">
        <v>11</v>
      </c>
      <c r="F157" t="s">
        <v>307</v>
      </c>
      <c r="G157" t="s">
        <v>360</v>
      </c>
      <c r="H157" t="s">
        <v>4</v>
      </c>
      <c r="I157" t="s">
        <v>13</v>
      </c>
      <c r="J157" t="s">
        <v>379</v>
      </c>
      <c r="K157" t="s">
        <v>387</v>
      </c>
    </row>
    <row r="158" spans="1:11" x14ac:dyDescent="0.3">
      <c r="A158" t="s">
        <v>331</v>
      </c>
      <c r="B158" t="s">
        <v>344</v>
      </c>
      <c r="C158" t="s">
        <v>348</v>
      </c>
      <c r="D158" t="s">
        <v>189</v>
      </c>
      <c r="E158" t="s">
        <v>358</v>
      </c>
      <c r="F158" t="s">
        <v>359</v>
      </c>
      <c r="G158" t="s">
        <v>362</v>
      </c>
      <c r="H158" t="s">
        <v>373</v>
      </c>
      <c r="I158" t="s">
        <v>13</v>
      </c>
      <c r="J158" t="s">
        <v>380</v>
      </c>
      <c r="K158" t="s">
        <v>388</v>
      </c>
    </row>
    <row r="159" spans="1:11" x14ac:dyDescent="0.3">
      <c r="A159" t="s">
        <v>332</v>
      </c>
      <c r="B159" t="s">
        <v>344</v>
      </c>
      <c r="C159" t="s">
        <v>349</v>
      </c>
      <c r="D159" t="s">
        <v>189</v>
      </c>
      <c r="E159" t="s">
        <v>358</v>
      </c>
      <c r="F159">
        <v>2026</v>
      </c>
      <c r="G159" t="s">
        <v>363</v>
      </c>
      <c r="H159" t="s">
        <v>376</v>
      </c>
      <c r="I159" t="s">
        <v>13</v>
      </c>
      <c r="J159" t="s">
        <v>380</v>
      </c>
      <c r="K159" t="s">
        <v>388</v>
      </c>
    </row>
    <row r="160" spans="1:11" x14ac:dyDescent="0.3">
      <c r="A160" t="s">
        <v>333</v>
      </c>
      <c r="B160" t="s">
        <v>344</v>
      </c>
      <c r="C160" t="s">
        <v>350</v>
      </c>
      <c r="D160" t="s">
        <v>189</v>
      </c>
      <c r="E160" t="s">
        <v>358</v>
      </c>
      <c r="F160">
        <v>2026</v>
      </c>
      <c r="G160" t="s">
        <v>364</v>
      </c>
      <c r="H160" t="s">
        <v>375</v>
      </c>
      <c r="I160" t="s">
        <v>13</v>
      </c>
      <c r="J160" t="s">
        <v>380</v>
      </c>
      <c r="K160" t="s">
        <v>388</v>
      </c>
    </row>
    <row r="161" spans="1:11" x14ac:dyDescent="0.3">
      <c r="A161" t="s">
        <v>334</v>
      </c>
      <c r="B161" t="s">
        <v>344</v>
      </c>
      <c r="C161" t="s">
        <v>351</v>
      </c>
      <c r="D161" t="s">
        <v>189</v>
      </c>
      <c r="E161" t="s">
        <v>11</v>
      </c>
      <c r="F161" t="s">
        <v>307</v>
      </c>
      <c r="G161" t="s">
        <v>365</v>
      </c>
      <c r="H161" t="s">
        <v>374</v>
      </c>
      <c r="I161" t="s">
        <v>13</v>
      </c>
      <c r="J161" t="s">
        <v>381</v>
      </c>
      <c r="K161" t="s">
        <v>389</v>
      </c>
    </row>
    <row r="162" spans="1:11" x14ac:dyDescent="0.3">
      <c r="A162" t="s">
        <v>335</v>
      </c>
      <c r="B162" t="s">
        <v>344</v>
      </c>
      <c r="C162" t="s">
        <v>347</v>
      </c>
      <c r="D162" t="s">
        <v>189</v>
      </c>
      <c r="E162" t="s">
        <v>11</v>
      </c>
      <c r="F162" t="s">
        <v>307</v>
      </c>
      <c r="G162" t="s">
        <v>360</v>
      </c>
      <c r="H162" t="s">
        <v>4</v>
      </c>
      <c r="I162" t="s">
        <v>13</v>
      </c>
      <c r="J162" t="s">
        <v>381</v>
      </c>
      <c r="K162" t="s">
        <v>389</v>
      </c>
    </row>
    <row r="163" spans="1:11" x14ac:dyDescent="0.3">
      <c r="A163" t="s">
        <v>336</v>
      </c>
      <c r="B163" t="s">
        <v>344</v>
      </c>
      <c r="C163" t="s">
        <v>351</v>
      </c>
      <c r="D163" t="s">
        <v>189</v>
      </c>
      <c r="E163" t="s">
        <v>11</v>
      </c>
      <c r="F163" t="s">
        <v>307</v>
      </c>
      <c r="G163" t="s">
        <v>366</v>
      </c>
      <c r="H163" t="s">
        <v>374</v>
      </c>
      <c r="I163" t="s">
        <v>13</v>
      </c>
      <c r="J163" t="s">
        <v>382</v>
      </c>
      <c r="K163" t="s">
        <v>389</v>
      </c>
    </row>
    <row r="164" spans="1:11" x14ac:dyDescent="0.3">
      <c r="A164" t="s">
        <v>337</v>
      </c>
      <c r="B164" t="s">
        <v>344</v>
      </c>
      <c r="C164" t="s">
        <v>347</v>
      </c>
      <c r="D164" t="s">
        <v>189</v>
      </c>
      <c r="E164" t="s">
        <v>11</v>
      </c>
      <c r="F164" t="s">
        <v>307</v>
      </c>
      <c r="G164" t="s">
        <v>367</v>
      </c>
      <c r="H164" t="s">
        <v>4</v>
      </c>
      <c r="I164" t="s">
        <v>13</v>
      </c>
      <c r="J164" t="s">
        <v>382</v>
      </c>
      <c r="K164" t="s">
        <v>389</v>
      </c>
    </row>
    <row r="165" spans="1:11" x14ac:dyDescent="0.3">
      <c r="A165" t="s">
        <v>338</v>
      </c>
      <c r="B165" t="s">
        <v>344</v>
      </c>
      <c r="C165" t="s">
        <v>352</v>
      </c>
      <c r="D165" t="s">
        <v>356</v>
      </c>
      <c r="E165" t="s">
        <v>11</v>
      </c>
      <c r="F165" t="s">
        <v>307</v>
      </c>
      <c r="G165" t="s">
        <v>368</v>
      </c>
      <c r="H165" t="s">
        <v>352</v>
      </c>
      <c r="I165" t="s">
        <v>13</v>
      </c>
      <c r="J165" t="s">
        <v>383</v>
      </c>
      <c r="K165" t="s">
        <v>389</v>
      </c>
    </row>
    <row r="166" spans="1:11" x14ac:dyDescent="0.3">
      <c r="A166" t="s">
        <v>339</v>
      </c>
      <c r="B166" t="s">
        <v>344</v>
      </c>
      <c r="C166" t="s">
        <v>353</v>
      </c>
      <c r="D166" t="s">
        <v>356</v>
      </c>
      <c r="E166" t="s">
        <v>11</v>
      </c>
      <c r="F166" t="s">
        <v>307</v>
      </c>
      <c r="G166">
        <v>5000</v>
      </c>
      <c r="H166" t="s">
        <v>199</v>
      </c>
      <c r="I166" t="s">
        <v>13</v>
      </c>
      <c r="J166" t="s">
        <v>383</v>
      </c>
      <c r="K166" t="s">
        <v>389</v>
      </c>
    </row>
    <row r="167" spans="1:11" x14ac:dyDescent="0.3">
      <c r="A167" t="s">
        <v>340</v>
      </c>
      <c r="B167" t="s">
        <v>344</v>
      </c>
      <c r="C167" t="s">
        <v>352</v>
      </c>
      <c r="D167" t="s">
        <v>357</v>
      </c>
      <c r="E167" t="s">
        <v>11</v>
      </c>
      <c r="F167" t="s">
        <v>307</v>
      </c>
      <c r="G167" t="s">
        <v>369</v>
      </c>
      <c r="H167" t="s">
        <v>352</v>
      </c>
      <c r="I167" t="s">
        <v>13</v>
      </c>
      <c r="J167" t="s">
        <v>384</v>
      </c>
      <c r="K167" t="s">
        <v>390</v>
      </c>
    </row>
    <row r="168" spans="1:11" x14ac:dyDescent="0.3">
      <c r="A168" t="s">
        <v>341</v>
      </c>
      <c r="B168" t="s">
        <v>344</v>
      </c>
      <c r="C168" t="s">
        <v>353</v>
      </c>
      <c r="D168" t="s">
        <v>357</v>
      </c>
      <c r="E168" t="s">
        <v>11</v>
      </c>
      <c r="F168" t="s">
        <v>307</v>
      </c>
      <c r="G168">
        <v>400</v>
      </c>
      <c r="H168" t="s">
        <v>199</v>
      </c>
      <c r="I168" t="s">
        <v>13</v>
      </c>
      <c r="J168" t="s">
        <v>384</v>
      </c>
      <c r="K168" t="s">
        <v>390</v>
      </c>
    </row>
    <row r="169" spans="1:11" x14ac:dyDescent="0.3">
      <c r="A169" t="s">
        <v>342</v>
      </c>
      <c r="B169" t="s">
        <v>344</v>
      </c>
      <c r="C169" t="s">
        <v>347</v>
      </c>
      <c r="D169" t="s">
        <v>189</v>
      </c>
      <c r="E169" t="s">
        <v>11</v>
      </c>
      <c r="F169" t="s">
        <v>307</v>
      </c>
      <c r="G169" t="s">
        <v>370</v>
      </c>
      <c r="H169" t="s">
        <v>4</v>
      </c>
      <c r="I169" t="s">
        <v>13</v>
      </c>
      <c r="J169" t="s">
        <v>384</v>
      </c>
      <c r="K169" t="s">
        <v>390</v>
      </c>
    </row>
    <row r="170" spans="1:11" x14ac:dyDescent="0.3">
      <c r="A170" t="s">
        <v>343</v>
      </c>
      <c r="B170" t="s">
        <v>344</v>
      </c>
      <c r="C170" t="s">
        <v>354</v>
      </c>
      <c r="D170" t="s">
        <v>62</v>
      </c>
      <c r="E170" t="s">
        <v>11</v>
      </c>
      <c r="F170" t="s">
        <v>307</v>
      </c>
      <c r="G170" t="s">
        <v>371</v>
      </c>
      <c r="H170" t="s">
        <v>377</v>
      </c>
      <c r="I170" t="s">
        <v>13</v>
      </c>
      <c r="J170" t="s">
        <v>385</v>
      </c>
      <c r="K170" s="1" t="s">
        <v>391</v>
      </c>
    </row>
  </sheetData>
  <phoneticPr fontId="1" type="noConversion"/>
  <hyperlinks>
    <hyperlink ref="K2" r:id="rId1" xr:uid="{0B2410F6-1E53-4B55-8610-1714DDDBA5B2}"/>
    <hyperlink ref="K5" r:id="rId2" xr:uid="{07A28A33-E293-4AED-A5BF-AED92B52695D}"/>
    <hyperlink ref="K3" r:id="rId3" xr:uid="{14863819-A94A-4D88-B2C7-F7B8D8200683}"/>
    <hyperlink ref="K6" r:id="rId4" xr:uid="{8819A237-85A6-4B53-B37A-77A39D21905C}"/>
    <hyperlink ref="K4" r:id="rId5" xr:uid="{0A2BC3E2-0B1C-45B0-A3D0-EE4C1906FE06}"/>
    <hyperlink ref="K7" r:id="rId6" xr:uid="{BAD1921E-948B-4D0C-8182-96226BB878BB}"/>
    <hyperlink ref="K8" r:id="rId7" xr:uid="{300F3915-EED3-4AC8-B4C1-7A229E71EFCD}"/>
    <hyperlink ref="K9" r:id="rId8" xr:uid="{B884BF4C-BEAB-4201-A3C8-2B7FFFC9330C}"/>
    <hyperlink ref="K10" r:id="rId9" xr:uid="{C2508399-1F7A-4E81-9489-816FBEDCEC3B}"/>
    <hyperlink ref="K11" r:id="rId10" xr:uid="{8DA0F8B5-A3E8-49DB-846A-502B44FC449D}"/>
    <hyperlink ref="K12" r:id="rId11" xr:uid="{A5CA1CDA-B126-4D4A-9578-4EA160E765C4}"/>
    <hyperlink ref="K13" r:id="rId12" xr:uid="{3C1F0A7B-78E0-4EFE-89C7-086FD7C36653}"/>
    <hyperlink ref="K15" r:id="rId13" xr:uid="{0DE10380-389E-456E-A917-CFBA95A96156}"/>
    <hyperlink ref="K14" r:id="rId14" xr:uid="{B95C4DD7-8E16-4BFB-B95C-A92F4BF77DB3}"/>
    <hyperlink ref="K18" r:id="rId15" xr:uid="{21D23DCA-3C8D-4943-94F8-D6A655B01DB9}"/>
    <hyperlink ref="K21" r:id="rId16" xr:uid="{31100804-E0DC-4857-A9D8-F40037AF875C}"/>
    <hyperlink ref="K19" r:id="rId17" xr:uid="{06F72F93-3F6A-478C-B479-E97331BD60B2}"/>
    <hyperlink ref="K22" r:id="rId18" xr:uid="{102B8EBC-C074-4713-80EA-C1F72A8CA32F}"/>
    <hyperlink ref="K20" r:id="rId19" xr:uid="{CE1EF482-80A8-40E5-B783-1AC27EE4FE4F}"/>
    <hyperlink ref="K23" r:id="rId20" xr:uid="{B4F62B90-6C1E-42B4-90CC-B36F5AB9388A}"/>
    <hyperlink ref="K16" r:id="rId21" xr:uid="{4ABEDA0F-897C-4BD5-A87A-23A27259DD58}"/>
    <hyperlink ref="K17" r:id="rId22" xr:uid="{ABC102B5-9A80-491C-8D55-298EA974988E}"/>
    <hyperlink ref="K24" r:id="rId23" xr:uid="{D652F3D6-FDB4-4435-9146-2CA00ACD6C41}"/>
    <hyperlink ref="K25" r:id="rId24" xr:uid="{C27C1A1A-DC85-48E8-B75B-43302B42338B}"/>
    <hyperlink ref="K32" r:id="rId25" xr:uid="{0154BD68-F0BE-4EAB-BA6E-CDE2C70AD270}"/>
    <hyperlink ref="K35" r:id="rId26" xr:uid="{DD88FBBB-38D3-4CCA-9D06-1AFB7A9AFA67}"/>
    <hyperlink ref="K33" r:id="rId27" xr:uid="{49A71403-2604-4632-A359-C261D1AE5C86}"/>
    <hyperlink ref="K36" r:id="rId28" xr:uid="{C9AFDA7A-61BE-4BBC-B485-1C1D846DAD73}"/>
    <hyperlink ref="K34" r:id="rId29" xr:uid="{689F05D3-00C1-4555-8AB4-79BFC476A778}"/>
    <hyperlink ref="K37" r:id="rId30" xr:uid="{7DACAB14-D7D5-420D-96CA-74AF5136D827}"/>
    <hyperlink ref="K26" r:id="rId31" xr:uid="{0ACDCCFC-CBEF-4BFF-BEA7-F05D3E35BE33}"/>
    <hyperlink ref="K29" r:id="rId32" xr:uid="{3A1064CC-2487-481B-8A18-1FDDEC44039B}"/>
    <hyperlink ref="K27" r:id="rId33" xr:uid="{23206119-DEE4-411E-A703-D4FBB9640795}"/>
    <hyperlink ref="K30" r:id="rId34" xr:uid="{E62ACC9C-A9DF-429F-B02F-0CF792599174}"/>
    <hyperlink ref="K28" r:id="rId35" xr:uid="{0421BC8A-3D22-4A22-AFA7-89CAF47433F3}"/>
    <hyperlink ref="K31" r:id="rId36" xr:uid="{2406A913-55A1-487E-AF9B-B32AD3BB6AFF}"/>
    <hyperlink ref="K38" r:id="rId37" xr:uid="{68FF9BAE-0FBF-40E6-9E21-B763F0795B37}"/>
    <hyperlink ref="K41" r:id="rId38" xr:uid="{558B1563-0A1B-486E-A954-69C89D81AFAF}"/>
    <hyperlink ref="K39" r:id="rId39" xr:uid="{172CF62A-CD75-4204-BF44-C44C3764BD36}"/>
    <hyperlink ref="K42" r:id="rId40" xr:uid="{0DDE0428-E38E-4B2A-AF8D-4B26B57EBC1E}"/>
    <hyperlink ref="K40" r:id="rId41" xr:uid="{30DFC82C-2955-4E7F-83D8-126540806313}"/>
    <hyperlink ref="K43" r:id="rId42" xr:uid="{2065DC62-3167-4798-96DA-9A7871FD231C}"/>
    <hyperlink ref="K44" r:id="rId43" xr:uid="{001F5E2E-7D4B-44A2-AAC6-8C73722636E4}"/>
    <hyperlink ref="K47" r:id="rId44" xr:uid="{18D1E0D9-4136-4D15-82D0-F1F331E34A5F}"/>
    <hyperlink ref="K45" r:id="rId45" xr:uid="{5D0668B0-B1FB-47E5-8AA0-A030576B3A60}"/>
    <hyperlink ref="K48" r:id="rId46" xr:uid="{1081665C-A6B4-454B-932D-F1F69942C1E0}"/>
    <hyperlink ref="K49" r:id="rId47" xr:uid="{062070BD-A5DD-4D31-8D43-F8606A4335E4}"/>
    <hyperlink ref="K46" r:id="rId48" xr:uid="{0325D75C-DE93-4A0F-B0FB-666EA6661C54}"/>
    <hyperlink ref="K50" r:id="rId49" xr:uid="{5C666BEB-4526-45B5-88CC-B10B41DDD0F6}"/>
    <hyperlink ref="K51" r:id="rId50" xr:uid="{E419FB5E-D13E-4110-B386-13110DCD88C1}"/>
    <hyperlink ref="K54" r:id="rId51" xr:uid="{3478A4F5-31C8-4D3D-8851-6762A1E94127}"/>
    <hyperlink ref="K55" r:id="rId52" xr:uid="{33C447D3-793C-4988-B5CB-6D99557415CA}"/>
    <hyperlink ref="K52" r:id="rId53" xr:uid="{63EA71A2-3ED3-4CC4-9BC5-2550FA8AA743}"/>
    <hyperlink ref="K53" r:id="rId54" xr:uid="{41BED20A-156E-41F9-8D18-766AE9B33E4A}"/>
    <hyperlink ref="K56" r:id="rId55" xr:uid="{55F4ED4E-9B7F-4A3A-AA32-C62D042E9025}"/>
    <hyperlink ref="K57" r:id="rId56" xr:uid="{D411FF27-90EF-4F7F-8BFE-3D5B1A952881}"/>
    <hyperlink ref="K58" r:id="rId57" xr:uid="{CBBF8508-C1B8-48BF-BAE6-042A43895BBB}"/>
    <hyperlink ref="K59" r:id="rId58" xr:uid="{52EB78B1-B822-4FBF-8CA4-87F7334099DF}"/>
    <hyperlink ref="K62" r:id="rId59" xr:uid="{F3EFFB15-6B03-4D2E-A0E8-5000877EDECD}"/>
    <hyperlink ref="K63" r:id="rId60" xr:uid="{F594D2A8-1F57-4238-BAA8-6CD7D08EFE78}"/>
    <hyperlink ref="K64" r:id="rId61" xr:uid="{2A768F12-8CB0-4D93-80B6-1FF7B6267DF3}"/>
    <hyperlink ref="K65" r:id="rId62" xr:uid="{7E439B7A-6FE9-484E-8218-F85EADE7A9B7}"/>
    <hyperlink ref="K60" r:id="rId63" xr:uid="{324BD3D1-9281-4401-ACD4-ABBB4D7A7166}"/>
    <hyperlink ref="K61" r:id="rId64" xr:uid="{1542F1A2-AEDF-4E3E-85D7-33F8918F3948}"/>
    <hyperlink ref="K66" r:id="rId65" xr:uid="{AB57E004-B7F3-4F7E-9C30-2A89C06CFD3E}"/>
    <hyperlink ref="K67" r:id="rId66" xr:uid="{5F029C56-0E3D-48B5-8AC6-512D2202410D}"/>
    <hyperlink ref="K68" r:id="rId67" xr:uid="{D088BD11-65CF-4979-AE50-5A47DBC26BCF}"/>
    <hyperlink ref="K70" r:id="rId68" xr:uid="{084FBBD4-D045-46DF-8026-70BC9AAC539E}"/>
    <hyperlink ref="K71" r:id="rId69" xr:uid="{7AF78ACB-DCB5-44E4-B2EC-0CACE1BF8F1B}"/>
    <hyperlink ref="K72" r:id="rId70" xr:uid="{1D6DAA3A-6028-4027-8685-94F48D940513}"/>
    <hyperlink ref="K73" r:id="rId71" xr:uid="{94CFD8F8-AFB6-4CDB-91C9-A18379DEF327}"/>
    <hyperlink ref="K69" r:id="rId72" xr:uid="{E3AA8E6A-BA47-4415-B6DC-E362CAA40C1A}"/>
    <hyperlink ref="K74" r:id="rId73" xr:uid="{042467D5-43D3-45C5-A42C-0D489F6B7886}"/>
    <hyperlink ref="K75" r:id="rId74" xr:uid="{D4B02EB6-EFBF-4739-BE7B-01AEAB6B591A}"/>
    <hyperlink ref="K76" r:id="rId75" xr:uid="{80693D6C-2C98-4A02-A257-4EDE81F5404C}"/>
    <hyperlink ref="K77" r:id="rId76" xr:uid="{6B69AEFC-C1B9-4FAF-B28E-2E94D9A4697F}"/>
    <hyperlink ref="K78" r:id="rId77" xr:uid="{6EB40CD3-FCAA-4448-AD2A-87887D47DC98}"/>
    <hyperlink ref="K79" r:id="rId78" xr:uid="{73DBBE8E-29F8-4B6B-B15D-CA904C6D70DE}"/>
    <hyperlink ref="K80" r:id="rId79" xr:uid="{DB67496E-F3AB-4987-8867-3D87777A9B4F}"/>
    <hyperlink ref="K81" r:id="rId80" xr:uid="{B832D60B-3223-488E-9143-3B8B4D9DF4CD}"/>
    <hyperlink ref="K82" r:id="rId81" xr:uid="{91617CFF-5D39-49F5-B815-200B5D48422D}"/>
    <hyperlink ref="K83" r:id="rId82" xr:uid="{0A2480BA-CCB1-47F7-B6D7-E925F103229C}"/>
    <hyperlink ref="K84" r:id="rId83" xr:uid="{57EAA6FB-B0C8-4194-946A-7E05C44B7915}"/>
    <hyperlink ref="K85" r:id="rId84" xr:uid="{4561A090-F2FB-4A79-9AE5-9472747FA027}"/>
    <hyperlink ref="K86" r:id="rId85" xr:uid="{55274A24-9941-4EDF-9221-5997B79CA7A1}"/>
    <hyperlink ref="K87" r:id="rId86" xr:uid="{7E053709-2C64-4AC8-B944-9279EB77EB82}"/>
    <hyperlink ref="K88" r:id="rId87" xr:uid="{C4F0EECC-FA63-40F9-82D7-653A57DB15AC}"/>
    <hyperlink ref="K89" r:id="rId88" xr:uid="{31725DED-568C-45D0-BA15-5C2C5D7305A6}"/>
    <hyperlink ref="K90" r:id="rId89" xr:uid="{35706DB1-9887-4690-8FD2-C949DC1DF4F0}"/>
    <hyperlink ref="K91" r:id="rId90" xr:uid="{C609DC94-7AF4-430E-BA5B-504D1A36621E}"/>
    <hyperlink ref="K92:K93" r:id="rId91" display="https://www.thecable.ng/between-rent-and-reptiles-lagos-housing-tragedy/" xr:uid="{468B2F96-CD8C-48CF-A68B-8B471809A11E}"/>
    <hyperlink ref="K94" r:id="rId92" xr:uid="{DA755DAB-4198-4245-9585-88E96E9D86B7}"/>
    <hyperlink ref="K95" r:id="rId93" xr:uid="{B3A8FE2D-3AA8-4758-91B2-30EB8C7E8B0B}"/>
    <hyperlink ref="K96" r:id="rId94" xr:uid="{8E4D5759-71B5-41DB-842B-D39216CBBF2A}"/>
    <hyperlink ref="K97:K99" r:id="rId95" display="https://businessday.ng/real-estate/article/reports-position-nigerias-lagos-housing-deficits-as-investment-opportunities/" xr:uid="{07AE3C79-F257-40FD-A0BF-7256C676C337}"/>
    <hyperlink ref="K100" r:id="rId96" xr:uid="{E1BE919A-C7CA-4752-98B8-D2F8A08A79A7}"/>
    <hyperlink ref="K101" r:id="rId97" xr:uid="{AB0C5B84-F3F9-4FDC-B3C2-87FAE5B31D19}"/>
    <hyperlink ref="K102" r:id="rId98" xr:uid="{3E259B7B-E910-47CD-804F-582363796047}"/>
    <hyperlink ref="K103" r:id="rId99" xr:uid="{75C0C8A1-B843-4FD9-9776-40E1BC3AE51B}"/>
    <hyperlink ref="K104" r:id="rId100" xr:uid="{932C951B-1FD7-42E0-9CD9-406700EF22E0}"/>
    <hyperlink ref="K105" r:id="rId101" xr:uid="{F82E6F53-5489-4206-A5DF-16D31C585F9C}"/>
    <hyperlink ref="K106:K107" r:id="rId102" display="https://businessday.ng/real-estate/article/no-respite-for-buyers-renters-as-lagos-housing-deficit-rises-15/" xr:uid="{F763FEC5-BA53-489E-B7B9-849C8F4FD48C}"/>
    <hyperlink ref="K108" r:id="rId103" xr:uid="{B6F50A26-AD4B-41DF-8AB0-231C13459BB3}"/>
    <hyperlink ref="K109" r:id="rId104" xr:uid="{85F50007-B584-485E-A3AE-B9F8B19D0BBE}"/>
    <hyperlink ref="K111" r:id="rId105" xr:uid="{5E32CE1A-4AC6-4A6F-87F1-40FCB399ACBB}"/>
    <hyperlink ref="K110" r:id="rId106" xr:uid="{BD2B3D71-1419-483D-8E18-5D61F81232D8}"/>
    <hyperlink ref="K112:K114" r:id="rId107" display="https://www.theguardian.com/global-development/2026/apr/15/lagos-rent-crisis-wages-housing-growth" xr:uid="{B8A1DBC0-C8F3-4924-B384-0CC5748F7627}"/>
    <hyperlink ref="K115" r:id="rId108" xr:uid="{9F4B650B-E8E6-4594-9A8F-A82652E6D873}"/>
    <hyperlink ref="K116" r:id="rId109" xr:uid="{13462534-4BD5-494A-BE70-460B9A572A03}"/>
    <hyperlink ref="K117" r:id="rId110" xr:uid="{3C633E2D-EAA4-4E06-B435-19A7BB6E0129}"/>
    <hyperlink ref="K118" r:id="rId111" xr:uid="{32B7AA4C-0CE9-488E-854C-1FE8D6C60C28}"/>
    <hyperlink ref="K119" r:id="rId112" xr:uid="{E891A05B-F99C-44A6-8C33-A7E54E26E4AD}"/>
    <hyperlink ref="K122" r:id="rId113" xr:uid="{6C8A8F37-836F-4C85-BEF3-04483B794333}"/>
    <hyperlink ref="K123:K126" r:id="rId114" display="https://www.macrotrends.net/datasets/global-metrics/countries/nga/nigeria/inflation-rate-cpi" xr:uid="{67820564-550B-48E4-AA72-ED5853BD8870}"/>
    <hyperlink ref="K127" r:id="rId115" xr:uid="{2A50B15C-30C3-4825-87AD-178F27207855}"/>
    <hyperlink ref="K128:K132" r:id="rId116" display="https://historysaid.com/nigeria/gdp-growth/average/" xr:uid="{29466966-0526-4835-890C-8A9CBB596214}"/>
    <hyperlink ref="K133" r:id="rId117" xr:uid="{7265BC8C-F680-43C9-B2C5-AB2E2E94C1DB}"/>
    <hyperlink ref="K134" r:id="rId118" xr:uid="{407235CD-27EC-433E-AD01-037977D7A2F9}"/>
    <hyperlink ref="K135" r:id="rId119" xr:uid="{07C410EB-37DB-4A59-9B0F-ACC9A4812246}"/>
    <hyperlink ref="K136" r:id="rId120" xr:uid="{8752842B-C91F-4BAF-8CD5-490EEA1C3ABC}"/>
    <hyperlink ref="K137" r:id="rId121" xr:uid="{B3B3E102-41BE-4CCE-9924-A0A84BC80206}"/>
    <hyperlink ref="K138" r:id="rId122" xr:uid="{BBB3195A-27DF-47A7-B937-E7C69969B6B9}"/>
    <hyperlink ref="K139" r:id="rId123" xr:uid="{D0F7B469-D406-49AC-A6E7-57F0DC268189}"/>
    <hyperlink ref="K140" r:id="rId124" xr:uid="{FE4D4D78-FB10-4FA0-895F-66B30BA917A7}"/>
    <hyperlink ref="K141:K142" r:id="rId125" display="https://www.templars-law.com/app/uploads/2025/12/The-Lagos-State-Tenancy-Bill-2025.pdf" xr:uid="{0258650B-056B-4882-80E2-D64FAF5C4B1D}"/>
    <hyperlink ref="K143" r:id="rId126" xr:uid="{3FDD7E7A-05B4-430F-9D7E-C6CD666778C3}"/>
    <hyperlink ref="K144:K148" r:id="rId127" display="https://www.dlapiperrealworld.com/law/index.html?c=NG&amp;s=taxation-of-real-estate-sales-and-purchases&amp;t=sale-and-purchase" xr:uid="{AE4CC3A4-82E5-4DAC-9519-C9289012422A}"/>
    <hyperlink ref="K149" r:id="rId128" xr:uid="{4D3E67CD-B3D5-4EFA-B685-804E7037A359}"/>
    <hyperlink ref="K150:K151" r:id="rId129" display="https://businessday.ng/news/article/businessday-confab-fg-rolls-out-housing-reforms-orders-40-nhf-mortgage-disbursement/" xr:uid="{4E2C1DB0-2760-4494-B3D2-EA2AE8A05563}"/>
    <hyperlink ref="K152" r:id="rId130" xr:uid="{A097641F-31B6-4561-AC6D-5288936B578F}"/>
    <hyperlink ref="K153" r:id="rId131" xr:uid="{17B1AD7F-6145-488E-A0AC-C5C9FE5E47E4}"/>
    <hyperlink ref="K155" r:id="rId132" xr:uid="{4352E16E-5978-4626-977E-B1008916A6F8}"/>
    <hyperlink ref="K170" r:id="rId133" xr:uid="{8D4AABFB-669A-43E1-955E-2A75A902A1A5}"/>
  </hyperlinks>
  <pageMargins left="0.7" right="0.7" top="0.75" bottom="0.75" header="0.3" footer="0.3"/>
  <pageSetup orientation="portrait" r:id="rId1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F17D-7908-41C3-8A51-2F3553C5E777}">
  <dimension ref="A1:J166"/>
  <sheetViews>
    <sheetView tabSelected="1" workbookViewId="0">
      <selection activeCell="A85" sqref="A85:A90"/>
    </sheetView>
  </sheetViews>
  <sheetFormatPr defaultRowHeight="14.4" x14ac:dyDescent="0.3"/>
  <cols>
    <col min="1" max="1" width="9.21875" customWidth="1"/>
    <col min="2" max="2" width="15" bestFit="1" customWidth="1"/>
    <col min="3" max="3" width="23.77734375" bestFit="1" customWidth="1"/>
    <col min="4" max="4" width="23.77734375" customWidth="1"/>
    <col min="5" max="5" width="14.5546875" customWidth="1"/>
    <col min="6" max="6" width="15.88671875" style="17" customWidth="1"/>
    <col min="7" max="7" width="11.33203125" bestFit="1" customWidth="1"/>
    <col min="8" max="8" width="18.109375" customWidth="1"/>
    <col min="9" max="9" width="15.88671875" bestFit="1" customWidth="1"/>
    <col min="10" max="11" width="107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s="17" t="s">
        <v>254</v>
      </c>
      <c r="G1" t="s">
        <v>419</v>
      </c>
      <c r="H1" t="s">
        <v>6</v>
      </c>
      <c r="I1" t="s">
        <v>255</v>
      </c>
      <c r="J1" t="s">
        <v>266</v>
      </c>
    </row>
    <row r="2" spans="1:10" x14ac:dyDescent="0.3">
      <c r="A2" t="s">
        <v>14</v>
      </c>
      <c r="B2" t="s">
        <v>10</v>
      </c>
      <c r="C2" t="s">
        <v>69</v>
      </c>
      <c r="D2" t="s">
        <v>62</v>
      </c>
      <c r="E2" s="14">
        <v>2026</v>
      </c>
      <c r="F2" s="19">
        <v>2500000</v>
      </c>
      <c r="G2" t="str">
        <f t="shared" ref="G2:G33" si="0">IF(ISNUMBER(F2),"Yes","No")</f>
        <v>Yes</v>
      </c>
      <c r="H2" t="s">
        <v>12</v>
      </c>
      <c r="I2" t="s">
        <v>63</v>
      </c>
      <c r="J2" t="s">
        <v>72</v>
      </c>
    </row>
    <row r="3" spans="1:10" x14ac:dyDescent="0.3">
      <c r="A3" t="s">
        <v>15</v>
      </c>
      <c r="B3" t="s">
        <v>10</v>
      </c>
      <c r="C3" t="s">
        <v>68</v>
      </c>
      <c r="D3" t="s">
        <v>62</v>
      </c>
      <c r="E3" s="14">
        <v>2026</v>
      </c>
      <c r="F3" s="19">
        <v>4000000</v>
      </c>
      <c r="G3" t="str">
        <f t="shared" si="0"/>
        <v>Yes</v>
      </c>
      <c r="H3" t="s">
        <v>12</v>
      </c>
      <c r="I3" t="s">
        <v>63</v>
      </c>
      <c r="J3" t="s">
        <v>73</v>
      </c>
    </row>
    <row r="4" spans="1:10" x14ac:dyDescent="0.3">
      <c r="A4" t="s">
        <v>16</v>
      </c>
      <c r="B4" t="s">
        <v>10</v>
      </c>
      <c r="C4" t="s">
        <v>70</v>
      </c>
      <c r="D4" t="s">
        <v>62</v>
      </c>
      <c r="E4" s="14">
        <v>2026</v>
      </c>
      <c r="F4" s="19">
        <v>6000000</v>
      </c>
      <c r="G4" t="str">
        <f t="shared" si="0"/>
        <v>Yes</v>
      </c>
      <c r="H4" t="s">
        <v>12</v>
      </c>
      <c r="I4" t="s">
        <v>63</v>
      </c>
      <c r="J4" t="s">
        <v>74</v>
      </c>
    </row>
    <row r="5" spans="1:10" x14ac:dyDescent="0.3">
      <c r="A5" t="s">
        <v>17</v>
      </c>
      <c r="B5" t="s">
        <v>10</v>
      </c>
      <c r="C5" t="s">
        <v>69</v>
      </c>
      <c r="D5" t="s">
        <v>62</v>
      </c>
      <c r="E5" s="14">
        <v>2025</v>
      </c>
      <c r="F5" s="19">
        <v>1800000</v>
      </c>
      <c r="G5" t="str">
        <f t="shared" si="0"/>
        <v>Yes</v>
      </c>
      <c r="H5" t="s">
        <v>12</v>
      </c>
      <c r="I5" t="s">
        <v>63</v>
      </c>
      <c r="J5" t="s">
        <v>72</v>
      </c>
    </row>
    <row r="6" spans="1:10" x14ac:dyDescent="0.3">
      <c r="A6" t="s">
        <v>18</v>
      </c>
      <c r="B6" t="s">
        <v>10</v>
      </c>
      <c r="C6" t="s">
        <v>68</v>
      </c>
      <c r="D6" t="s">
        <v>62</v>
      </c>
      <c r="E6" s="14">
        <v>2025</v>
      </c>
      <c r="F6" s="19">
        <v>3000000</v>
      </c>
      <c r="G6" t="str">
        <f t="shared" si="0"/>
        <v>Yes</v>
      </c>
      <c r="H6" t="s">
        <v>12</v>
      </c>
      <c r="I6" t="s">
        <v>63</v>
      </c>
      <c r="J6" t="s">
        <v>73</v>
      </c>
    </row>
    <row r="7" spans="1:10" x14ac:dyDescent="0.3">
      <c r="A7" t="s">
        <v>19</v>
      </c>
      <c r="B7" t="s">
        <v>10</v>
      </c>
      <c r="C7" t="s">
        <v>70</v>
      </c>
      <c r="D7" t="s">
        <v>62</v>
      </c>
      <c r="E7" s="14">
        <v>2025</v>
      </c>
      <c r="F7" s="19">
        <v>4700000</v>
      </c>
      <c r="G7" t="str">
        <f t="shared" si="0"/>
        <v>Yes</v>
      </c>
      <c r="H7" t="s">
        <v>12</v>
      </c>
      <c r="I7" t="s">
        <v>63</v>
      </c>
      <c r="J7" t="s">
        <v>74</v>
      </c>
    </row>
    <row r="8" spans="1:10" x14ac:dyDescent="0.3">
      <c r="A8" t="s">
        <v>20</v>
      </c>
      <c r="B8" t="s">
        <v>10</v>
      </c>
      <c r="C8" t="s">
        <v>68</v>
      </c>
      <c r="D8" t="s">
        <v>62</v>
      </c>
      <c r="E8" s="14">
        <v>2024</v>
      </c>
      <c r="F8" s="19">
        <v>2500000</v>
      </c>
      <c r="G8" t="str">
        <f t="shared" si="0"/>
        <v>Yes</v>
      </c>
      <c r="H8" t="s">
        <v>12</v>
      </c>
      <c r="I8" t="s">
        <v>83</v>
      </c>
      <c r="J8" t="s">
        <v>84</v>
      </c>
    </row>
    <row r="9" spans="1:10" x14ac:dyDescent="0.3">
      <c r="A9" t="s">
        <v>21</v>
      </c>
      <c r="B9" t="s">
        <v>10</v>
      </c>
      <c r="C9" t="s">
        <v>68</v>
      </c>
      <c r="D9" t="s">
        <v>62</v>
      </c>
      <c r="E9" s="14">
        <v>2026</v>
      </c>
      <c r="F9" s="19">
        <v>5000000</v>
      </c>
      <c r="G9" t="str">
        <f t="shared" si="0"/>
        <v>Yes</v>
      </c>
      <c r="H9" t="s">
        <v>12</v>
      </c>
      <c r="I9" t="s">
        <v>83</v>
      </c>
      <c r="J9" t="s">
        <v>84</v>
      </c>
    </row>
    <row r="10" spans="1:10" x14ac:dyDescent="0.3">
      <c r="A10" t="s">
        <v>22</v>
      </c>
      <c r="B10" t="s">
        <v>10</v>
      </c>
      <c r="C10" t="s">
        <v>69</v>
      </c>
      <c r="D10" t="s">
        <v>64</v>
      </c>
      <c r="E10" s="14">
        <v>2025</v>
      </c>
      <c r="F10" s="19">
        <v>1700000</v>
      </c>
      <c r="G10" t="str">
        <f t="shared" si="0"/>
        <v>Yes</v>
      </c>
      <c r="H10" t="s">
        <v>12</v>
      </c>
      <c r="I10" t="s">
        <v>63</v>
      </c>
      <c r="J10" t="s">
        <v>75</v>
      </c>
    </row>
    <row r="11" spans="1:10" x14ac:dyDescent="0.3">
      <c r="A11" t="s">
        <v>23</v>
      </c>
      <c r="B11" t="s">
        <v>10</v>
      </c>
      <c r="C11" t="s">
        <v>68</v>
      </c>
      <c r="D11" t="s">
        <v>64</v>
      </c>
      <c r="E11" s="14">
        <v>2025</v>
      </c>
      <c r="F11" s="19">
        <v>3200000</v>
      </c>
      <c r="G11" t="str">
        <f t="shared" si="0"/>
        <v>Yes</v>
      </c>
      <c r="H11" t="s">
        <v>12</v>
      </c>
      <c r="I11" t="s">
        <v>63</v>
      </c>
      <c r="J11" t="s">
        <v>76</v>
      </c>
    </row>
    <row r="12" spans="1:10" x14ac:dyDescent="0.3">
      <c r="A12" t="s">
        <v>24</v>
      </c>
      <c r="B12" t="s">
        <v>10</v>
      </c>
      <c r="C12" t="s">
        <v>70</v>
      </c>
      <c r="D12" t="s">
        <v>64</v>
      </c>
      <c r="E12" s="14">
        <v>2025</v>
      </c>
      <c r="F12" s="19">
        <v>4000000</v>
      </c>
      <c r="G12" t="str">
        <f t="shared" si="0"/>
        <v>Yes</v>
      </c>
      <c r="H12" t="s">
        <v>12</v>
      </c>
      <c r="I12" t="s">
        <v>63</v>
      </c>
      <c r="J12" t="s">
        <v>77</v>
      </c>
    </row>
    <row r="13" spans="1:10" x14ac:dyDescent="0.3">
      <c r="A13" t="s">
        <v>25</v>
      </c>
      <c r="B13" t="s">
        <v>10</v>
      </c>
      <c r="C13" t="s">
        <v>69</v>
      </c>
      <c r="D13" t="s">
        <v>64</v>
      </c>
      <c r="E13" s="14">
        <v>2026</v>
      </c>
      <c r="F13" s="19">
        <v>2500000</v>
      </c>
      <c r="G13" t="str">
        <f t="shared" si="0"/>
        <v>Yes</v>
      </c>
      <c r="H13" t="s">
        <v>12</v>
      </c>
      <c r="I13" t="s">
        <v>63</v>
      </c>
      <c r="J13" t="s">
        <v>75</v>
      </c>
    </row>
    <row r="14" spans="1:10" x14ac:dyDescent="0.3">
      <c r="A14" t="s">
        <v>26</v>
      </c>
      <c r="B14" t="s">
        <v>10</v>
      </c>
      <c r="C14" t="s">
        <v>68</v>
      </c>
      <c r="D14" t="s">
        <v>64</v>
      </c>
      <c r="E14" s="14">
        <v>2026</v>
      </c>
      <c r="F14" s="19">
        <v>4000000</v>
      </c>
      <c r="G14" t="str">
        <f t="shared" si="0"/>
        <v>Yes</v>
      </c>
      <c r="H14" t="s">
        <v>12</v>
      </c>
      <c r="I14" t="s">
        <v>63</v>
      </c>
      <c r="J14" t="s">
        <v>76</v>
      </c>
    </row>
    <row r="15" spans="1:10" x14ac:dyDescent="0.3">
      <c r="A15" t="s">
        <v>27</v>
      </c>
      <c r="B15" t="s">
        <v>10</v>
      </c>
      <c r="C15" t="s">
        <v>70</v>
      </c>
      <c r="D15" t="s">
        <v>64</v>
      </c>
      <c r="E15" s="14">
        <v>2026</v>
      </c>
      <c r="F15" s="19">
        <v>5000000</v>
      </c>
      <c r="G15" t="str">
        <f t="shared" si="0"/>
        <v>Yes</v>
      </c>
      <c r="H15" t="s">
        <v>12</v>
      </c>
      <c r="I15" t="s">
        <v>63</v>
      </c>
      <c r="J15" t="s">
        <v>77</v>
      </c>
    </row>
    <row r="16" spans="1:10" x14ac:dyDescent="0.3">
      <c r="A16" t="s">
        <v>28</v>
      </c>
      <c r="B16" t="s">
        <v>10</v>
      </c>
      <c r="C16" t="s">
        <v>68</v>
      </c>
      <c r="D16" t="s">
        <v>64</v>
      </c>
      <c r="E16" s="14">
        <v>2024</v>
      </c>
      <c r="F16" s="19">
        <v>2200000</v>
      </c>
      <c r="G16" t="str">
        <f t="shared" si="0"/>
        <v>Yes</v>
      </c>
      <c r="H16" t="s">
        <v>12</v>
      </c>
      <c r="I16" t="s">
        <v>83</v>
      </c>
      <c r="J16" t="s">
        <v>84</v>
      </c>
    </row>
    <row r="17" spans="1:10" x14ac:dyDescent="0.3">
      <c r="A17" t="s">
        <v>29</v>
      </c>
      <c r="B17" t="s">
        <v>10</v>
      </c>
      <c r="C17" t="s">
        <v>68</v>
      </c>
      <c r="D17" t="s">
        <v>64</v>
      </c>
      <c r="E17" s="14">
        <v>2026</v>
      </c>
      <c r="F17" s="19">
        <v>4500000</v>
      </c>
      <c r="G17" t="str">
        <f t="shared" si="0"/>
        <v>Yes</v>
      </c>
      <c r="H17" t="s">
        <v>12</v>
      </c>
      <c r="I17" t="s">
        <v>83</v>
      </c>
      <c r="J17" t="s">
        <v>84</v>
      </c>
    </row>
    <row r="18" spans="1:10" x14ac:dyDescent="0.3">
      <c r="A18" t="s">
        <v>30</v>
      </c>
      <c r="B18" t="s">
        <v>10</v>
      </c>
      <c r="C18" t="s">
        <v>69</v>
      </c>
      <c r="D18" t="s">
        <v>65</v>
      </c>
      <c r="E18" s="14">
        <v>2026</v>
      </c>
      <c r="F18" s="19">
        <v>2500000</v>
      </c>
      <c r="G18" t="str">
        <f t="shared" si="0"/>
        <v>Yes</v>
      </c>
      <c r="H18" t="s">
        <v>12</v>
      </c>
      <c r="I18" t="s">
        <v>63</v>
      </c>
      <c r="J18" t="s">
        <v>78</v>
      </c>
    </row>
    <row r="19" spans="1:10" x14ac:dyDescent="0.3">
      <c r="A19" t="s">
        <v>31</v>
      </c>
      <c r="B19" t="s">
        <v>10</v>
      </c>
      <c r="C19" t="s">
        <v>68</v>
      </c>
      <c r="D19" t="s">
        <v>65</v>
      </c>
      <c r="E19" s="14">
        <v>2026</v>
      </c>
      <c r="F19" s="19">
        <v>4500000</v>
      </c>
      <c r="G19" t="str">
        <f t="shared" si="0"/>
        <v>Yes</v>
      </c>
      <c r="H19" t="s">
        <v>12</v>
      </c>
      <c r="I19" t="s">
        <v>63</v>
      </c>
      <c r="J19" t="s">
        <v>79</v>
      </c>
    </row>
    <row r="20" spans="1:10" x14ac:dyDescent="0.3">
      <c r="A20" t="s">
        <v>32</v>
      </c>
      <c r="B20" t="s">
        <v>10</v>
      </c>
      <c r="C20" t="s">
        <v>70</v>
      </c>
      <c r="D20" t="s">
        <v>65</v>
      </c>
      <c r="E20" s="14">
        <v>2026</v>
      </c>
      <c r="F20" s="19">
        <v>7000000</v>
      </c>
      <c r="G20" t="str">
        <f t="shared" si="0"/>
        <v>Yes</v>
      </c>
      <c r="H20" t="s">
        <v>12</v>
      </c>
      <c r="I20" t="s">
        <v>63</v>
      </c>
      <c r="J20" t="s">
        <v>80</v>
      </c>
    </row>
    <row r="21" spans="1:10" x14ac:dyDescent="0.3">
      <c r="A21" t="s">
        <v>33</v>
      </c>
      <c r="B21" t="s">
        <v>10</v>
      </c>
      <c r="C21" t="s">
        <v>69</v>
      </c>
      <c r="D21" t="s">
        <v>65</v>
      </c>
      <c r="E21" s="14">
        <v>2025</v>
      </c>
      <c r="F21" s="19">
        <v>2000000</v>
      </c>
      <c r="G21" t="str">
        <f t="shared" si="0"/>
        <v>Yes</v>
      </c>
      <c r="H21" t="s">
        <v>12</v>
      </c>
      <c r="I21" t="s">
        <v>63</v>
      </c>
      <c r="J21" t="s">
        <v>78</v>
      </c>
    </row>
    <row r="22" spans="1:10" x14ac:dyDescent="0.3">
      <c r="A22" t="s">
        <v>34</v>
      </c>
      <c r="B22" t="s">
        <v>10</v>
      </c>
      <c r="C22" t="s">
        <v>68</v>
      </c>
      <c r="D22" t="s">
        <v>65</v>
      </c>
      <c r="E22" s="14">
        <v>2025</v>
      </c>
      <c r="F22" s="19">
        <v>3300000</v>
      </c>
      <c r="G22" t="str">
        <f t="shared" si="0"/>
        <v>Yes</v>
      </c>
      <c r="H22" t="s">
        <v>12</v>
      </c>
      <c r="I22" t="s">
        <v>63</v>
      </c>
      <c r="J22" t="s">
        <v>79</v>
      </c>
    </row>
    <row r="23" spans="1:10" x14ac:dyDescent="0.3">
      <c r="A23" t="s">
        <v>35</v>
      </c>
      <c r="B23" t="s">
        <v>10</v>
      </c>
      <c r="C23" t="s">
        <v>70</v>
      </c>
      <c r="D23" t="s">
        <v>65</v>
      </c>
      <c r="E23" s="14">
        <v>2025</v>
      </c>
      <c r="F23" s="19">
        <v>4500000</v>
      </c>
      <c r="G23" t="str">
        <f t="shared" si="0"/>
        <v>Yes</v>
      </c>
      <c r="H23" t="s">
        <v>12</v>
      </c>
      <c r="I23" t="s">
        <v>63</v>
      </c>
      <c r="J23" t="s">
        <v>80</v>
      </c>
    </row>
    <row r="24" spans="1:10" x14ac:dyDescent="0.3">
      <c r="A24" t="s">
        <v>36</v>
      </c>
      <c r="B24" t="s">
        <v>10</v>
      </c>
      <c r="C24" t="s">
        <v>68</v>
      </c>
      <c r="D24" t="s">
        <v>65</v>
      </c>
      <c r="E24" s="14">
        <v>2024</v>
      </c>
      <c r="F24" s="19">
        <v>2800000</v>
      </c>
      <c r="G24" t="str">
        <f t="shared" si="0"/>
        <v>Yes</v>
      </c>
      <c r="H24" t="s">
        <v>12</v>
      </c>
      <c r="I24" t="s">
        <v>83</v>
      </c>
      <c r="J24" t="s">
        <v>84</v>
      </c>
    </row>
    <row r="25" spans="1:10" x14ac:dyDescent="0.3">
      <c r="A25" t="s">
        <v>37</v>
      </c>
      <c r="B25" t="s">
        <v>10</v>
      </c>
      <c r="C25" t="s">
        <v>68</v>
      </c>
      <c r="D25" t="s">
        <v>65</v>
      </c>
      <c r="E25" s="14">
        <v>2026</v>
      </c>
      <c r="F25" s="19">
        <v>4200000</v>
      </c>
      <c r="G25" t="str">
        <f t="shared" si="0"/>
        <v>Yes</v>
      </c>
      <c r="H25" t="s">
        <v>12</v>
      </c>
      <c r="I25" t="s">
        <v>83</v>
      </c>
      <c r="J25" t="s">
        <v>84</v>
      </c>
    </row>
    <row r="26" spans="1:10" x14ac:dyDescent="0.3">
      <c r="A26" t="s">
        <v>38</v>
      </c>
      <c r="B26" t="s">
        <v>10</v>
      </c>
      <c r="C26" t="s">
        <v>69</v>
      </c>
      <c r="D26" t="s">
        <v>66</v>
      </c>
      <c r="E26" s="14">
        <v>2026</v>
      </c>
      <c r="F26" s="19">
        <v>2300000</v>
      </c>
      <c r="G26" t="str">
        <f t="shared" si="0"/>
        <v>Yes</v>
      </c>
      <c r="H26" t="s">
        <v>12</v>
      </c>
      <c r="I26" t="s">
        <v>63</v>
      </c>
      <c r="J26" t="s">
        <v>81</v>
      </c>
    </row>
    <row r="27" spans="1:10" x14ac:dyDescent="0.3">
      <c r="A27" t="s">
        <v>39</v>
      </c>
      <c r="B27" t="s">
        <v>10</v>
      </c>
      <c r="C27" t="s">
        <v>68</v>
      </c>
      <c r="D27" t="s">
        <v>66</v>
      </c>
      <c r="E27" s="14">
        <v>2026</v>
      </c>
      <c r="F27" s="19">
        <v>4000000</v>
      </c>
      <c r="G27" t="str">
        <f t="shared" si="0"/>
        <v>Yes</v>
      </c>
      <c r="H27" t="s">
        <v>12</v>
      </c>
      <c r="I27" t="s">
        <v>63</v>
      </c>
      <c r="J27" t="s">
        <v>82</v>
      </c>
    </row>
    <row r="28" spans="1:10" x14ac:dyDescent="0.3">
      <c r="A28" t="s">
        <v>40</v>
      </c>
      <c r="B28" t="s">
        <v>10</v>
      </c>
      <c r="C28" t="s">
        <v>70</v>
      </c>
      <c r="D28" t="s">
        <v>66</v>
      </c>
      <c r="E28" s="14">
        <v>2026</v>
      </c>
      <c r="F28" s="19">
        <v>8500000</v>
      </c>
      <c r="G28" t="str">
        <f t="shared" si="0"/>
        <v>Yes</v>
      </c>
      <c r="H28" t="s">
        <v>12</v>
      </c>
      <c r="I28" t="s">
        <v>63</v>
      </c>
      <c r="J28" t="s">
        <v>87</v>
      </c>
    </row>
    <row r="29" spans="1:10" x14ac:dyDescent="0.3">
      <c r="A29" t="s">
        <v>41</v>
      </c>
      <c r="B29" t="s">
        <v>10</v>
      </c>
      <c r="C29" t="s">
        <v>69</v>
      </c>
      <c r="D29" t="s">
        <v>66</v>
      </c>
      <c r="E29" s="14">
        <v>2025</v>
      </c>
      <c r="F29" s="19">
        <v>1800000</v>
      </c>
      <c r="G29" t="str">
        <f t="shared" si="0"/>
        <v>Yes</v>
      </c>
      <c r="H29" t="s">
        <v>12</v>
      </c>
      <c r="I29" t="s">
        <v>63</v>
      </c>
      <c r="J29" t="s">
        <v>81</v>
      </c>
    </row>
    <row r="30" spans="1:10" x14ac:dyDescent="0.3">
      <c r="A30" t="s">
        <v>42</v>
      </c>
      <c r="B30" t="s">
        <v>10</v>
      </c>
      <c r="C30" t="s">
        <v>68</v>
      </c>
      <c r="D30" t="s">
        <v>66</v>
      </c>
      <c r="E30" s="14">
        <v>2025</v>
      </c>
      <c r="F30" s="19">
        <v>3000000</v>
      </c>
      <c r="G30" t="str">
        <f t="shared" si="0"/>
        <v>Yes</v>
      </c>
      <c r="H30" t="s">
        <v>12</v>
      </c>
      <c r="I30" t="s">
        <v>63</v>
      </c>
      <c r="J30" t="s">
        <v>82</v>
      </c>
    </row>
    <row r="31" spans="1:10" x14ac:dyDescent="0.3">
      <c r="A31" t="s">
        <v>43</v>
      </c>
      <c r="B31" t="s">
        <v>10</v>
      </c>
      <c r="C31" t="s">
        <v>70</v>
      </c>
      <c r="D31" t="s">
        <v>66</v>
      </c>
      <c r="E31" s="14">
        <v>2025</v>
      </c>
      <c r="F31" s="19">
        <v>6000000</v>
      </c>
      <c r="G31" t="str">
        <f t="shared" si="0"/>
        <v>Yes</v>
      </c>
      <c r="H31" t="s">
        <v>12</v>
      </c>
      <c r="I31" t="s">
        <v>63</v>
      </c>
      <c r="J31" t="s">
        <v>87</v>
      </c>
    </row>
    <row r="32" spans="1:10" x14ac:dyDescent="0.3">
      <c r="A32" t="s">
        <v>44</v>
      </c>
      <c r="B32" t="s">
        <v>10</v>
      </c>
      <c r="C32" t="s">
        <v>69</v>
      </c>
      <c r="D32" t="s">
        <v>88</v>
      </c>
      <c r="E32" s="14">
        <v>2026</v>
      </c>
      <c r="F32" s="19">
        <v>4500000</v>
      </c>
      <c r="G32" t="str">
        <f t="shared" si="0"/>
        <v>Yes</v>
      </c>
      <c r="H32" t="s">
        <v>12</v>
      </c>
      <c r="I32" t="s">
        <v>63</v>
      </c>
      <c r="J32" t="s">
        <v>89</v>
      </c>
    </row>
    <row r="33" spans="1:10" x14ac:dyDescent="0.3">
      <c r="A33" t="s">
        <v>45</v>
      </c>
      <c r="B33" t="s">
        <v>10</v>
      </c>
      <c r="C33" t="s">
        <v>68</v>
      </c>
      <c r="D33" t="s">
        <v>88</v>
      </c>
      <c r="E33" s="14">
        <v>2026</v>
      </c>
      <c r="F33" s="19">
        <v>10000000</v>
      </c>
      <c r="G33" t="str">
        <f t="shared" si="0"/>
        <v>Yes</v>
      </c>
      <c r="H33" t="s">
        <v>12</v>
      </c>
      <c r="I33" t="s">
        <v>63</v>
      </c>
      <c r="J33" t="s">
        <v>90</v>
      </c>
    </row>
    <row r="34" spans="1:10" x14ac:dyDescent="0.3">
      <c r="A34" t="s">
        <v>46</v>
      </c>
      <c r="B34" t="s">
        <v>10</v>
      </c>
      <c r="C34" t="s">
        <v>70</v>
      </c>
      <c r="D34" t="s">
        <v>88</v>
      </c>
      <c r="E34" s="14">
        <v>2026</v>
      </c>
      <c r="F34" s="19">
        <v>15000000</v>
      </c>
      <c r="G34" t="str">
        <f t="shared" ref="G34:G65" si="1">IF(ISNUMBER(F34),"Yes","No")</f>
        <v>Yes</v>
      </c>
      <c r="H34" t="s">
        <v>12</v>
      </c>
      <c r="I34" t="s">
        <v>63</v>
      </c>
      <c r="J34" t="s">
        <v>91</v>
      </c>
    </row>
    <row r="35" spans="1:10" x14ac:dyDescent="0.3">
      <c r="A35" t="s">
        <v>47</v>
      </c>
      <c r="B35" t="s">
        <v>10</v>
      </c>
      <c r="C35" t="s">
        <v>69</v>
      </c>
      <c r="D35" t="s">
        <v>88</v>
      </c>
      <c r="E35" s="14">
        <v>2025</v>
      </c>
      <c r="F35" s="19">
        <v>3500000</v>
      </c>
      <c r="G35" t="str">
        <f t="shared" si="1"/>
        <v>Yes</v>
      </c>
      <c r="H35" t="s">
        <v>12</v>
      </c>
      <c r="I35" t="s">
        <v>63</v>
      </c>
      <c r="J35" t="s">
        <v>89</v>
      </c>
    </row>
    <row r="36" spans="1:10" x14ac:dyDescent="0.3">
      <c r="A36" t="s">
        <v>48</v>
      </c>
      <c r="B36" t="s">
        <v>10</v>
      </c>
      <c r="C36" t="s">
        <v>68</v>
      </c>
      <c r="D36" t="s">
        <v>88</v>
      </c>
      <c r="E36" s="14">
        <v>2025</v>
      </c>
      <c r="F36" s="19">
        <v>8000000</v>
      </c>
      <c r="G36" t="str">
        <f t="shared" si="1"/>
        <v>Yes</v>
      </c>
      <c r="H36" t="s">
        <v>12</v>
      </c>
      <c r="I36" t="s">
        <v>63</v>
      </c>
      <c r="J36" t="s">
        <v>90</v>
      </c>
    </row>
    <row r="37" spans="1:10" x14ac:dyDescent="0.3">
      <c r="A37" t="s">
        <v>49</v>
      </c>
      <c r="B37" t="s">
        <v>10</v>
      </c>
      <c r="C37" t="s">
        <v>70</v>
      </c>
      <c r="D37" t="s">
        <v>88</v>
      </c>
      <c r="E37" s="14">
        <v>2025</v>
      </c>
      <c r="F37" s="19">
        <v>9300000</v>
      </c>
      <c r="G37" t="str">
        <f t="shared" si="1"/>
        <v>Yes</v>
      </c>
      <c r="H37" t="s">
        <v>12</v>
      </c>
      <c r="I37" t="s">
        <v>63</v>
      </c>
      <c r="J37" t="s">
        <v>91</v>
      </c>
    </row>
    <row r="38" spans="1:10" x14ac:dyDescent="0.3">
      <c r="A38" t="s">
        <v>50</v>
      </c>
      <c r="B38" t="s">
        <v>10</v>
      </c>
      <c r="C38" t="s">
        <v>69</v>
      </c>
      <c r="D38" t="s">
        <v>92</v>
      </c>
      <c r="E38" s="14">
        <v>2026</v>
      </c>
      <c r="F38" s="19">
        <v>1900000</v>
      </c>
      <c r="G38" t="str">
        <f t="shared" si="1"/>
        <v>Yes</v>
      </c>
      <c r="H38" t="s">
        <v>12</v>
      </c>
      <c r="I38" t="s">
        <v>63</v>
      </c>
      <c r="J38" t="s">
        <v>93</v>
      </c>
    </row>
    <row r="39" spans="1:10" x14ac:dyDescent="0.3">
      <c r="A39" t="s">
        <v>51</v>
      </c>
      <c r="B39" t="s">
        <v>10</v>
      </c>
      <c r="C39" t="s">
        <v>68</v>
      </c>
      <c r="D39" t="s">
        <v>92</v>
      </c>
      <c r="E39" s="14">
        <v>2026</v>
      </c>
      <c r="F39" s="19">
        <v>3000000</v>
      </c>
      <c r="G39" t="str">
        <f t="shared" si="1"/>
        <v>Yes</v>
      </c>
      <c r="H39" t="s">
        <v>12</v>
      </c>
      <c r="I39" t="s">
        <v>63</v>
      </c>
      <c r="J39" t="s">
        <v>94</v>
      </c>
    </row>
    <row r="40" spans="1:10" x14ac:dyDescent="0.3">
      <c r="A40" t="s">
        <v>52</v>
      </c>
      <c r="B40" t="s">
        <v>10</v>
      </c>
      <c r="C40" t="s">
        <v>70</v>
      </c>
      <c r="D40" t="s">
        <v>92</v>
      </c>
      <c r="E40" s="14">
        <v>2026</v>
      </c>
      <c r="F40" s="19">
        <v>4000000</v>
      </c>
      <c r="G40" t="str">
        <f t="shared" si="1"/>
        <v>Yes</v>
      </c>
      <c r="H40" t="s">
        <v>12</v>
      </c>
      <c r="I40" t="s">
        <v>63</v>
      </c>
      <c r="J40" t="s">
        <v>95</v>
      </c>
    </row>
    <row r="41" spans="1:10" x14ac:dyDescent="0.3">
      <c r="A41" t="s">
        <v>53</v>
      </c>
      <c r="B41" t="s">
        <v>10</v>
      </c>
      <c r="C41" t="s">
        <v>69</v>
      </c>
      <c r="D41" t="s">
        <v>92</v>
      </c>
      <c r="E41" s="14">
        <v>2025</v>
      </c>
      <c r="F41" s="19">
        <v>1500000</v>
      </c>
      <c r="G41" t="str">
        <f t="shared" si="1"/>
        <v>Yes</v>
      </c>
      <c r="H41" t="s">
        <v>12</v>
      </c>
      <c r="I41" t="s">
        <v>63</v>
      </c>
      <c r="J41" t="s">
        <v>93</v>
      </c>
    </row>
    <row r="42" spans="1:10" x14ac:dyDescent="0.3">
      <c r="A42" t="s">
        <v>54</v>
      </c>
      <c r="B42" t="s">
        <v>10</v>
      </c>
      <c r="C42" t="s">
        <v>68</v>
      </c>
      <c r="D42" t="s">
        <v>92</v>
      </c>
      <c r="E42" s="14">
        <v>2025</v>
      </c>
      <c r="F42" s="19">
        <v>2500000</v>
      </c>
      <c r="G42" t="str">
        <f t="shared" si="1"/>
        <v>Yes</v>
      </c>
      <c r="H42" t="s">
        <v>12</v>
      </c>
      <c r="I42" t="s">
        <v>63</v>
      </c>
      <c r="J42" t="s">
        <v>94</v>
      </c>
    </row>
    <row r="43" spans="1:10" x14ac:dyDescent="0.3">
      <c r="A43" t="s">
        <v>55</v>
      </c>
      <c r="B43" t="s">
        <v>10</v>
      </c>
      <c r="C43" t="s">
        <v>70</v>
      </c>
      <c r="D43" t="s">
        <v>92</v>
      </c>
      <c r="E43" s="14">
        <v>2025</v>
      </c>
      <c r="F43" s="19">
        <v>3000000</v>
      </c>
      <c r="G43" t="str">
        <f t="shared" si="1"/>
        <v>Yes</v>
      </c>
      <c r="H43" t="s">
        <v>12</v>
      </c>
      <c r="I43" t="s">
        <v>63</v>
      </c>
      <c r="J43" t="s">
        <v>95</v>
      </c>
    </row>
    <row r="44" spans="1:10" x14ac:dyDescent="0.3">
      <c r="A44" t="s">
        <v>56</v>
      </c>
      <c r="B44" t="s">
        <v>10</v>
      </c>
      <c r="C44" t="s">
        <v>69</v>
      </c>
      <c r="D44" t="s">
        <v>67</v>
      </c>
      <c r="E44" s="14">
        <v>2026</v>
      </c>
      <c r="F44" s="19">
        <v>3500000</v>
      </c>
      <c r="G44" t="str">
        <f t="shared" si="1"/>
        <v>Yes</v>
      </c>
      <c r="H44" t="s">
        <v>12</v>
      </c>
      <c r="I44" t="s">
        <v>63</v>
      </c>
      <c r="J44" t="s">
        <v>96</v>
      </c>
    </row>
    <row r="45" spans="1:10" x14ac:dyDescent="0.3">
      <c r="A45" t="s">
        <v>57</v>
      </c>
      <c r="B45" t="s">
        <v>10</v>
      </c>
      <c r="C45" t="s">
        <v>68</v>
      </c>
      <c r="D45" t="s">
        <v>67</v>
      </c>
      <c r="E45" s="14">
        <v>2026</v>
      </c>
      <c r="F45" s="19">
        <v>6000000</v>
      </c>
      <c r="G45" t="str">
        <f t="shared" si="1"/>
        <v>Yes</v>
      </c>
      <c r="H45" t="s">
        <v>12</v>
      </c>
      <c r="I45" t="s">
        <v>63</v>
      </c>
      <c r="J45" t="s">
        <v>97</v>
      </c>
    </row>
    <row r="46" spans="1:10" x14ac:dyDescent="0.3">
      <c r="A46" t="s">
        <v>58</v>
      </c>
      <c r="B46" t="s">
        <v>10</v>
      </c>
      <c r="C46" t="s">
        <v>70</v>
      </c>
      <c r="D46" t="s">
        <v>67</v>
      </c>
      <c r="E46" s="14">
        <v>2026</v>
      </c>
      <c r="F46" s="19">
        <v>8000000</v>
      </c>
      <c r="G46" t="str">
        <f t="shared" si="1"/>
        <v>Yes</v>
      </c>
      <c r="H46" t="s">
        <v>12</v>
      </c>
      <c r="I46" t="s">
        <v>63</v>
      </c>
      <c r="J46" t="s">
        <v>98</v>
      </c>
    </row>
    <row r="47" spans="1:10" x14ac:dyDescent="0.3">
      <c r="A47" t="s">
        <v>59</v>
      </c>
      <c r="B47" t="s">
        <v>10</v>
      </c>
      <c r="C47" t="s">
        <v>69</v>
      </c>
      <c r="D47" t="s">
        <v>67</v>
      </c>
      <c r="E47" s="14">
        <v>2025</v>
      </c>
      <c r="F47" s="19">
        <v>2500000</v>
      </c>
      <c r="G47" t="str">
        <f t="shared" si="1"/>
        <v>Yes</v>
      </c>
      <c r="H47" t="s">
        <v>12</v>
      </c>
      <c r="I47" t="s">
        <v>63</v>
      </c>
      <c r="J47" t="s">
        <v>96</v>
      </c>
    </row>
    <row r="48" spans="1:10" x14ac:dyDescent="0.3">
      <c r="A48" t="s">
        <v>60</v>
      </c>
      <c r="B48" t="s">
        <v>10</v>
      </c>
      <c r="C48" t="s">
        <v>68</v>
      </c>
      <c r="D48" t="s">
        <v>67</v>
      </c>
      <c r="E48" s="14">
        <v>2025</v>
      </c>
      <c r="F48" s="19">
        <v>5000000</v>
      </c>
      <c r="G48" t="str">
        <f t="shared" si="1"/>
        <v>Yes</v>
      </c>
      <c r="H48" t="s">
        <v>12</v>
      </c>
      <c r="I48" t="s">
        <v>63</v>
      </c>
      <c r="J48" t="s">
        <v>97</v>
      </c>
    </row>
    <row r="49" spans="1:10" x14ac:dyDescent="0.3">
      <c r="A49" t="s">
        <v>61</v>
      </c>
      <c r="B49" t="s">
        <v>10</v>
      </c>
      <c r="C49" t="s">
        <v>70</v>
      </c>
      <c r="D49" t="s">
        <v>67</v>
      </c>
      <c r="E49" s="14">
        <v>2025</v>
      </c>
      <c r="F49" s="19">
        <v>7000000</v>
      </c>
      <c r="G49" t="str">
        <f t="shared" si="1"/>
        <v>Yes</v>
      </c>
      <c r="H49" t="s">
        <v>12</v>
      </c>
      <c r="I49" t="s">
        <v>63</v>
      </c>
      <c r="J49" t="s">
        <v>98</v>
      </c>
    </row>
    <row r="50" spans="1:10" x14ac:dyDescent="0.3">
      <c r="A50" t="s">
        <v>99</v>
      </c>
      <c r="B50" t="s">
        <v>10</v>
      </c>
      <c r="C50" t="s">
        <v>130</v>
      </c>
      <c r="D50" t="s">
        <v>62</v>
      </c>
      <c r="E50" s="14">
        <v>2025</v>
      </c>
      <c r="F50" s="19">
        <v>50000000</v>
      </c>
      <c r="G50" t="str">
        <f t="shared" si="1"/>
        <v>Yes</v>
      </c>
      <c r="H50" t="s">
        <v>129</v>
      </c>
      <c r="I50" t="s">
        <v>63</v>
      </c>
      <c r="J50" t="s">
        <v>132</v>
      </c>
    </row>
    <row r="51" spans="1:10" x14ac:dyDescent="0.3">
      <c r="A51" t="s">
        <v>100</v>
      </c>
      <c r="B51" t="s">
        <v>10</v>
      </c>
      <c r="C51" t="s">
        <v>130</v>
      </c>
      <c r="D51" t="s">
        <v>62</v>
      </c>
      <c r="E51" s="14">
        <v>2026</v>
      </c>
      <c r="F51" s="19">
        <v>58000000</v>
      </c>
      <c r="G51" t="str">
        <f t="shared" si="1"/>
        <v>Yes</v>
      </c>
      <c r="H51" t="s">
        <v>129</v>
      </c>
      <c r="I51" t="s">
        <v>63</v>
      </c>
      <c r="J51" t="s">
        <v>132</v>
      </c>
    </row>
    <row r="52" spans="1:10" x14ac:dyDescent="0.3">
      <c r="A52" t="s">
        <v>101</v>
      </c>
      <c r="B52" t="s">
        <v>10</v>
      </c>
      <c r="C52" t="s">
        <v>130</v>
      </c>
      <c r="D52" t="s">
        <v>64</v>
      </c>
      <c r="E52" s="14">
        <v>2025</v>
      </c>
      <c r="F52" s="19">
        <v>78000000</v>
      </c>
      <c r="G52" t="str">
        <f t="shared" si="1"/>
        <v>Yes</v>
      </c>
      <c r="H52" t="s">
        <v>129</v>
      </c>
      <c r="I52" t="s">
        <v>63</v>
      </c>
      <c r="J52" t="s">
        <v>134</v>
      </c>
    </row>
    <row r="53" spans="1:10" x14ac:dyDescent="0.3">
      <c r="A53" t="s">
        <v>102</v>
      </c>
      <c r="B53" t="s">
        <v>10</v>
      </c>
      <c r="C53" t="s">
        <v>130</v>
      </c>
      <c r="D53" t="s">
        <v>64</v>
      </c>
      <c r="E53" s="14">
        <v>2026</v>
      </c>
      <c r="F53" s="19">
        <v>75000000</v>
      </c>
      <c r="G53" t="str">
        <f t="shared" si="1"/>
        <v>Yes</v>
      </c>
      <c r="H53" t="s">
        <v>129</v>
      </c>
      <c r="I53" t="s">
        <v>63</v>
      </c>
      <c r="J53" t="s">
        <v>134</v>
      </c>
    </row>
    <row r="54" spans="1:10" x14ac:dyDescent="0.3">
      <c r="A54" t="s">
        <v>103</v>
      </c>
      <c r="B54" t="s">
        <v>10</v>
      </c>
      <c r="C54" t="s">
        <v>131</v>
      </c>
      <c r="D54" t="s">
        <v>64</v>
      </c>
      <c r="E54" s="14">
        <v>2025</v>
      </c>
      <c r="F54" s="19">
        <v>100000000</v>
      </c>
      <c r="G54" t="str">
        <f t="shared" si="1"/>
        <v>Yes</v>
      </c>
      <c r="H54" t="s">
        <v>129</v>
      </c>
      <c r="I54" t="s">
        <v>63</v>
      </c>
      <c r="J54" t="s">
        <v>133</v>
      </c>
    </row>
    <row r="55" spans="1:10" x14ac:dyDescent="0.3">
      <c r="A55" t="s">
        <v>104</v>
      </c>
      <c r="B55" t="s">
        <v>10</v>
      </c>
      <c r="C55" t="s">
        <v>131</v>
      </c>
      <c r="D55" t="s">
        <v>64</v>
      </c>
      <c r="E55" s="14">
        <v>2026</v>
      </c>
      <c r="F55" s="19">
        <v>110000000</v>
      </c>
      <c r="G55" t="str">
        <f t="shared" si="1"/>
        <v>Yes</v>
      </c>
      <c r="H55" t="s">
        <v>129</v>
      </c>
      <c r="I55" t="s">
        <v>63</v>
      </c>
      <c r="J55" t="s">
        <v>133</v>
      </c>
    </row>
    <row r="56" spans="1:10" x14ac:dyDescent="0.3">
      <c r="A56" t="s">
        <v>105</v>
      </c>
      <c r="B56" t="s">
        <v>10</v>
      </c>
      <c r="C56" t="s">
        <v>130</v>
      </c>
      <c r="D56" t="s">
        <v>66</v>
      </c>
      <c r="E56" s="14">
        <v>2025</v>
      </c>
      <c r="F56" s="19">
        <v>50000000</v>
      </c>
      <c r="G56" t="str">
        <f t="shared" si="1"/>
        <v>Yes</v>
      </c>
      <c r="H56" t="s">
        <v>129</v>
      </c>
      <c r="I56" t="s">
        <v>63</v>
      </c>
      <c r="J56" t="s">
        <v>135</v>
      </c>
    </row>
    <row r="57" spans="1:10" x14ac:dyDescent="0.3">
      <c r="A57" t="s">
        <v>106</v>
      </c>
      <c r="B57" t="s">
        <v>10</v>
      </c>
      <c r="C57" t="s">
        <v>130</v>
      </c>
      <c r="D57" t="s">
        <v>66</v>
      </c>
      <c r="E57" s="14">
        <v>2026</v>
      </c>
      <c r="F57" s="19">
        <v>95000000</v>
      </c>
      <c r="G57" t="str">
        <f t="shared" si="1"/>
        <v>Yes</v>
      </c>
      <c r="H57" t="s">
        <v>129</v>
      </c>
      <c r="I57" t="s">
        <v>63</v>
      </c>
      <c r="J57" t="s">
        <v>135</v>
      </c>
    </row>
    <row r="58" spans="1:10" x14ac:dyDescent="0.3">
      <c r="A58" t="s">
        <v>107</v>
      </c>
      <c r="B58" t="s">
        <v>10</v>
      </c>
      <c r="C58" t="s">
        <v>131</v>
      </c>
      <c r="D58" t="s">
        <v>66</v>
      </c>
      <c r="E58" s="14">
        <v>2025</v>
      </c>
      <c r="F58" s="19">
        <v>140000000</v>
      </c>
      <c r="G58" t="str">
        <f t="shared" si="1"/>
        <v>Yes</v>
      </c>
      <c r="H58" t="s">
        <v>129</v>
      </c>
      <c r="I58" t="s">
        <v>63</v>
      </c>
      <c r="J58" t="s">
        <v>137</v>
      </c>
    </row>
    <row r="59" spans="1:10" x14ac:dyDescent="0.3">
      <c r="A59" t="s">
        <v>108</v>
      </c>
      <c r="B59" t="s">
        <v>10</v>
      </c>
      <c r="C59" t="s">
        <v>131</v>
      </c>
      <c r="D59" t="s">
        <v>66</v>
      </c>
      <c r="E59" s="14">
        <v>2026</v>
      </c>
      <c r="F59" s="19">
        <v>165000000</v>
      </c>
      <c r="G59" t="str">
        <f t="shared" si="1"/>
        <v>Yes</v>
      </c>
      <c r="H59" t="s">
        <v>129</v>
      </c>
      <c r="I59" t="s">
        <v>63</v>
      </c>
      <c r="J59" t="s">
        <v>137</v>
      </c>
    </row>
    <row r="60" spans="1:10" x14ac:dyDescent="0.3">
      <c r="A60" t="s">
        <v>109</v>
      </c>
      <c r="B60" t="s">
        <v>10</v>
      </c>
      <c r="C60" t="s">
        <v>136</v>
      </c>
      <c r="D60" t="s">
        <v>66</v>
      </c>
      <c r="E60" s="14">
        <v>2025</v>
      </c>
      <c r="F60" s="19">
        <v>199000000</v>
      </c>
      <c r="G60" t="str">
        <f t="shared" si="1"/>
        <v>Yes</v>
      </c>
      <c r="H60" t="s">
        <v>129</v>
      </c>
      <c r="I60" t="s">
        <v>63</v>
      </c>
      <c r="J60" t="s">
        <v>140</v>
      </c>
    </row>
    <row r="61" spans="1:10" x14ac:dyDescent="0.3">
      <c r="A61" t="s">
        <v>110</v>
      </c>
      <c r="B61" t="s">
        <v>10</v>
      </c>
      <c r="C61" t="s">
        <v>136</v>
      </c>
      <c r="D61" t="s">
        <v>66</v>
      </c>
      <c r="E61" s="14">
        <v>2026</v>
      </c>
      <c r="F61" s="19">
        <v>300000000</v>
      </c>
      <c r="G61" t="str">
        <f t="shared" si="1"/>
        <v>Yes</v>
      </c>
      <c r="H61" t="s">
        <v>129</v>
      </c>
      <c r="I61" t="s">
        <v>63</v>
      </c>
      <c r="J61" t="s">
        <v>140</v>
      </c>
    </row>
    <row r="62" spans="1:10" x14ac:dyDescent="0.3">
      <c r="A62" t="s">
        <v>111</v>
      </c>
      <c r="B62" t="s">
        <v>10</v>
      </c>
      <c r="C62" t="s">
        <v>131</v>
      </c>
      <c r="D62" t="s">
        <v>62</v>
      </c>
      <c r="E62" s="14">
        <v>2025</v>
      </c>
      <c r="F62" s="19">
        <v>85000000</v>
      </c>
      <c r="G62" t="str">
        <f t="shared" si="1"/>
        <v>Yes</v>
      </c>
      <c r="H62" t="s">
        <v>129</v>
      </c>
      <c r="I62" t="s">
        <v>63</v>
      </c>
      <c r="J62" t="s">
        <v>138</v>
      </c>
    </row>
    <row r="63" spans="1:10" x14ac:dyDescent="0.3">
      <c r="A63" t="s">
        <v>112</v>
      </c>
      <c r="B63" t="s">
        <v>10</v>
      </c>
      <c r="C63" t="s">
        <v>131</v>
      </c>
      <c r="D63" t="s">
        <v>62</v>
      </c>
      <c r="E63" s="14">
        <v>2026</v>
      </c>
      <c r="F63" s="19">
        <v>140000000</v>
      </c>
      <c r="G63" t="str">
        <f t="shared" si="1"/>
        <v>Yes</v>
      </c>
      <c r="H63" t="s">
        <v>129</v>
      </c>
      <c r="I63" t="s">
        <v>63</v>
      </c>
      <c r="J63" t="s">
        <v>138</v>
      </c>
    </row>
    <row r="64" spans="1:10" x14ac:dyDescent="0.3">
      <c r="A64" t="s">
        <v>113</v>
      </c>
      <c r="B64" t="s">
        <v>10</v>
      </c>
      <c r="C64" t="s">
        <v>136</v>
      </c>
      <c r="D64" t="s">
        <v>62</v>
      </c>
      <c r="E64" s="14">
        <v>2025</v>
      </c>
      <c r="F64" s="19">
        <v>150000000</v>
      </c>
      <c r="G64" t="str">
        <f t="shared" si="1"/>
        <v>Yes</v>
      </c>
      <c r="H64" t="s">
        <v>129</v>
      </c>
      <c r="I64" t="s">
        <v>63</v>
      </c>
      <c r="J64" t="s">
        <v>139</v>
      </c>
    </row>
    <row r="65" spans="1:10" x14ac:dyDescent="0.3">
      <c r="A65" t="s">
        <v>114</v>
      </c>
      <c r="B65" t="s">
        <v>10</v>
      </c>
      <c r="C65" t="s">
        <v>136</v>
      </c>
      <c r="D65" t="s">
        <v>62</v>
      </c>
      <c r="E65" s="14">
        <v>2026</v>
      </c>
      <c r="F65" s="19">
        <v>170000000</v>
      </c>
      <c r="G65" t="str">
        <f t="shared" si="1"/>
        <v>Yes</v>
      </c>
      <c r="H65" t="s">
        <v>129</v>
      </c>
      <c r="I65" t="s">
        <v>63</v>
      </c>
      <c r="J65" t="s">
        <v>139</v>
      </c>
    </row>
    <row r="66" spans="1:10" x14ac:dyDescent="0.3">
      <c r="A66" t="s">
        <v>115</v>
      </c>
      <c r="B66" t="s">
        <v>10</v>
      </c>
      <c r="C66" t="s">
        <v>136</v>
      </c>
      <c r="D66" t="s">
        <v>64</v>
      </c>
      <c r="E66" s="14">
        <v>2025</v>
      </c>
      <c r="F66" s="19">
        <v>120000000</v>
      </c>
      <c r="G66" t="str">
        <f t="shared" ref="G66:G96" si="2">IF(ISNUMBER(F66),"Yes","No")</f>
        <v>Yes</v>
      </c>
      <c r="H66" t="s">
        <v>129</v>
      </c>
      <c r="I66" t="s">
        <v>63</v>
      </c>
      <c r="J66" t="s">
        <v>141</v>
      </c>
    </row>
    <row r="67" spans="1:10" x14ac:dyDescent="0.3">
      <c r="A67" t="s">
        <v>116</v>
      </c>
      <c r="B67" t="s">
        <v>10</v>
      </c>
      <c r="C67" t="s">
        <v>136</v>
      </c>
      <c r="D67" t="s">
        <v>64</v>
      </c>
      <c r="E67" s="14">
        <v>2026</v>
      </c>
      <c r="F67" s="19">
        <v>280000000</v>
      </c>
      <c r="G67" t="str">
        <f t="shared" si="2"/>
        <v>Yes</v>
      </c>
      <c r="H67" t="s">
        <v>129</v>
      </c>
      <c r="I67" t="s">
        <v>63</v>
      </c>
      <c r="J67" t="s">
        <v>141</v>
      </c>
    </row>
    <row r="68" spans="1:10" x14ac:dyDescent="0.3">
      <c r="A68" t="s">
        <v>117</v>
      </c>
      <c r="B68" t="s">
        <v>10</v>
      </c>
      <c r="C68" t="s">
        <v>130</v>
      </c>
      <c r="D68" t="s">
        <v>65</v>
      </c>
      <c r="E68" s="14">
        <v>2025</v>
      </c>
      <c r="F68" s="19">
        <v>15500000</v>
      </c>
      <c r="G68" t="str">
        <f t="shared" si="2"/>
        <v>Yes</v>
      </c>
      <c r="H68" t="s">
        <v>129</v>
      </c>
      <c r="I68" t="s">
        <v>63</v>
      </c>
      <c r="J68" t="s">
        <v>142</v>
      </c>
    </row>
    <row r="69" spans="1:10" x14ac:dyDescent="0.3">
      <c r="A69" t="s">
        <v>118</v>
      </c>
      <c r="B69" t="s">
        <v>10</v>
      </c>
      <c r="C69" t="s">
        <v>130</v>
      </c>
      <c r="D69" t="s">
        <v>65</v>
      </c>
      <c r="E69" s="14">
        <v>2026</v>
      </c>
      <c r="F69" s="19">
        <v>21000000</v>
      </c>
      <c r="G69" t="str">
        <f t="shared" si="2"/>
        <v>Yes</v>
      </c>
      <c r="H69" t="s">
        <v>129</v>
      </c>
      <c r="I69" t="s">
        <v>63</v>
      </c>
      <c r="J69" t="s">
        <v>142</v>
      </c>
    </row>
    <row r="70" spans="1:10" x14ac:dyDescent="0.3">
      <c r="A70" t="s">
        <v>119</v>
      </c>
      <c r="B70" t="s">
        <v>10</v>
      </c>
      <c r="C70" t="s">
        <v>131</v>
      </c>
      <c r="D70" t="s">
        <v>65</v>
      </c>
      <c r="E70" s="14">
        <v>2025</v>
      </c>
      <c r="F70" s="19">
        <v>55000000</v>
      </c>
      <c r="G70" t="str">
        <f t="shared" si="2"/>
        <v>Yes</v>
      </c>
      <c r="H70" t="s">
        <v>129</v>
      </c>
      <c r="I70" t="s">
        <v>63</v>
      </c>
      <c r="J70" t="s">
        <v>143</v>
      </c>
    </row>
    <row r="71" spans="1:10" x14ac:dyDescent="0.3">
      <c r="A71" t="s">
        <v>120</v>
      </c>
      <c r="B71" t="s">
        <v>10</v>
      </c>
      <c r="C71" t="s">
        <v>131</v>
      </c>
      <c r="D71" t="s">
        <v>65</v>
      </c>
      <c r="E71" s="14">
        <v>2026</v>
      </c>
      <c r="F71" s="19">
        <v>85000000</v>
      </c>
      <c r="G71" t="str">
        <f t="shared" si="2"/>
        <v>Yes</v>
      </c>
      <c r="H71" t="s">
        <v>129</v>
      </c>
      <c r="I71" t="s">
        <v>63</v>
      </c>
      <c r="J71" t="s">
        <v>143</v>
      </c>
    </row>
    <row r="72" spans="1:10" x14ac:dyDescent="0.3">
      <c r="A72" t="s">
        <v>121</v>
      </c>
      <c r="B72" t="s">
        <v>10</v>
      </c>
      <c r="C72" t="s">
        <v>136</v>
      </c>
      <c r="D72" t="s">
        <v>65</v>
      </c>
      <c r="E72" s="14">
        <v>2025</v>
      </c>
      <c r="F72" s="19">
        <v>150000000</v>
      </c>
      <c r="G72" t="str">
        <f t="shared" si="2"/>
        <v>Yes</v>
      </c>
      <c r="H72" t="s">
        <v>129</v>
      </c>
      <c r="I72" t="s">
        <v>63</v>
      </c>
      <c r="J72" t="s">
        <v>144</v>
      </c>
    </row>
    <row r="73" spans="1:10" x14ac:dyDescent="0.3">
      <c r="A73" t="s">
        <v>122</v>
      </c>
      <c r="B73" t="s">
        <v>10</v>
      </c>
      <c r="C73" t="s">
        <v>136</v>
      </c>
      <c r="D73" t="s">
        <v>65</v>
      </c>
      <c r="E73" s="14">
        <v>2026</v>
      </c>
      <c r="F73" s="19">
        <v>160000000</v>
      </c>
      <c r="G73" t="str">
        <f t="shared" si="2"/>
        <v>Yes</v>
      </c>
      <c r="H73" t="s">
        <v>129</v>
      </c>
      <c r="I73" t="s">
        <v>63</v>
      </c>
      <c r="J73" t="s">
        <v>144</v>
      </c>
    </row>
    <row r="74" spans="1:10" x14ac:dyDescent="0.3">
      <c r="A74" t="s">
        <v>123</v>
      </c>
      <c r="B74" t="s">
        <v>10</v>
      </c>
      <c r="C74" t="s">
        <v>130</v>
      </c>
      <c r="D74" t="s">
        <v>88</v>
      </c>
      <c r="E74" s="14">
        <v>2025</v>
      </c>
      <c r="F74" s="19">
        <v>78000000</v>
      </c>
      <c r="G74" t="str">
        <f t="shared" si="2"/>
        <v>Yes</v>
      </c>
      <c r="H74" t="s">
        <v>129</v>
      </c>
      <c r="I74" t="s">
        <v>63</v>
      </c>
      <c r="J74" t="s">
        <v>145</v>
      </c>
    </row>
    <row r="75" spans="1:10" x14ac:dyDescent="0.3">
      <c r="A75" t="s">
        <v>124</v>
      </c>
      <c r="B75" t="s">
        <v>10</v>
      </c>
      <c r="C75" t="s">
        <v>130</v>
      </c>
      <c r="D75" t="s">
        <v>88</v>
      </c>
      <c r="E75" s="14">
        <v>2026</v>
      </c>
      <c r="F75" s="19">
        <v>130000000</v>
      </c>
      <c r="G75" t="str">
        <f t="shared" si="2"/>
        <v>Yes</v>
      </c>
      <c r="H75" t="s">
        <v>129</v>
      </c>
      <c r="I75" t="s">
        <v>63</v>
      </c>
      <c r="J75" t="s">
        <v>145</v>
      </c>
    </row>
    <row r="76" spans="1:10" x14ac:dyDescent="0.3">
      <c r="A76" t="s">
        <v>125</v>
      </c>
      <c r="B76" t="s">
        <v>10</v>
      </c>
      <c r="C76" t="s">
        <v>131</v>
      </c>
      <c r="D76" t="s">
        <v>88</v>
      </c>
      <c r="E76" s="14">
        <v>2025</v>
      </c>
      <c r="F76" s="19">
        <v>150000000</v>
      </c>
      <c r="G76" t="str">
        <f t="shared" si="2"/>
        <v>Yes</v>
      </c>
      <c r="H76" t="s">
        <v>129</v>
      </c>
      <c r="I76" t="s">
        <v>63</v>
      </c>
      <c r="J76" t="s">
        <v>146</v>
      </c>
    </row>
    <row r="77" spans="1:10" x14ac:dyDescent="0.3">
      <c r="A77" t="s">
        <v>126</v>
      </c>
      <c r="B77" t="s">
        <v>10</v>
      </c>
      <c r="C77" t="s">
        <v>131</v>
      </c>
      <c r="D77" t="s">
        <v>88</v>
      </c>
      <c r="E77" s="14">
        <v>2026</v>
      </c>
      <c r="F77" s="19">
        <v>200000000</v>
      </c>
      <c r="G77" t="str">
        <f t="shared" si="2"/>
        <v>Yes</v>
      </c>
      <c r="H77" t="s">
        <v>129</v>
      </c>
      <c r="I77" t="s">
        <v>63</v>
      </c>
      <c r="J77" t="s">
        <v>146</v>
      </c>
    </row>
    <row r="78" spans="1:10" x14ac:dyDescent="0.3">
      <c r="A78" t="s">
        <v>127</v>
      </c>
      <c r="B78" t="s">
        <v>10</v>
      </c>
      <c r="C78" t="s">
        <v>136</v>
      </c>
      <c r="D78" t="s">
        <v>88</v>
      </c>
      <c r="E78" s="14">
        <v>2025</v>
      </c>
      <c r="F78" s="19">
        <v>130000000</v>
      </c>
      <c r="G78" t="str">
        <f t="shared" si="2"/>
        <v>Yes</v>
      </c>
      <c r="H78" t="s">
        <v>129</v>
      </c>
      <c r="I78" t="s">
        <v>63</v>
      </c>
      <c r="J78" t="s">
        <v>147</v>
      </c>
    </row>
    <row r="79" spans="1:10" x14ac:dyDescent="0.3">
      <c r="A79" t="s">
        <v>128</v>
      </c>
      <c r="B79" t="s">
        <v>10</v>
      </c>
      <c r="C79" t="s">
        <v>136</v>
      </c>
      <c r="D79" t="s">
        <v>88</v>
      </c>
      <c r="E79" s="14">
        <v>2026</v>
      </c>
      <c r="F79" s="19">
        <v>185000000</v>
      </c>
      <c r="G79" t="str">
        <f t="shared" si="2"/>
        <v>Yes</v>
      </c>
      <c r="H79" t="s">
        <v>129</v>
      </c>
      <c r="I79" t="s">
        <v>63</v>
      </c>
      <c r="J79" t="s">
        <v>147</v>
      </c>
    </row>
    <row r="80" spans="1:10" x14ac:dyDescent="0.3">
      <c r="A80" t="s">
        <v>154</v>
      </c>
      <c r="B80" t="s">
        <v>10</v>
      </c>
      <c r="C80" t="s">
        <v>130</v>
      </c>
      <c r="D80" t="s">
        <v>92</v>
      </c>
      <c r="E80" s="14">
        <v>2025</v>
      </c>
      <c r="F80" s="19">
        <v>45000000</v>
      </c>
      <c r="G80" t="str">
        <f t="shared" si="2"/>
        <v>Yes</v>
      </c>
      <c r="H80" t="s">
        <v>129</v>
      </c>
      <c r="I80" t="s">
        <v>63</v>
      </c>
      <c r="J80" t="s">
        <v>148</v>
      </c>
    </row>
    <row r="81" spans="1:10" x14ac:dyDescent="0.3">
      <c r="A81" t="s">
        <v>155</v>
      </c>
      <c r="B81" t="s">
        <v>10</v>
      </c>
      <c r="C81" t="s">
        <v>130</v>
      </c>
      <c r="D81" t="s">
        <v>92</v>
      </c>
      <c r="E81" s="14">
        <v>2026</v>
      </c>
      <c r="F81" s="19">
        <v>52000000</v>
      </c>
      <c r="G81" t="str">
        <f t="shared" si="2"/>
        <v>Yes</v>
      </c>
      <c r="H81" t="s">
        <v>129</v>
      </c>
      <c r="I81" t="s">
        <v>63</v>
      </c>
      <c r="J81" t="s">
        <v>148</v>
      </c>
    </row>
    <row r="82" spans="1:10" x14ac:dyDescent="0.3">
      <c r="A82" t="s">
        <v>156</v>
      </c>
      <c r="B82" t="s">
        <v>10</v>
      </c>
      <c r="C82" t="s">
        <v>131</v>
      </c>
      <c r="D82" t="s">
        <v>92</v>
      </c>
      <c r="E82" s="14">
        <v>2025</v>
      </c>
      <c r="F82" s="19">
        <v>60000000</v>
      </c>
      <c r="G82" t="str">
        <f t="shared" si="2"/>
        <v>Yes</v>
      </c>
      <c r="H82" t="s">
        <v>129</v>
      </c>
      <c r="I82" t="s">
        <v>63</v>
      </c>
      <c r="J82" t="s">
        <v>149</v>
      </c>
    </row>
    <row r="83" spans="1:10" x14ac:dyDescent="0.3">
      <c r="A83" t="s">
        <v>157</v>
      </c>
      <c r="B83" t="s">
        <v>10</v>
      </c>
      <c r="C83" t="s">
        <v>131</v>
      </c>
      <c r="D83" t="s">
        <v>92</v>
      </c>
      <c r="E83" s="14">
        <v>2026</v>
      </c>
      <c r="F83" s="19">
        <v>85000000</v>
      </c>
      <c r="G83" t="str">
        <f t="shared" si="2"/>
        <v>Yes</v>
      </c>
      <c r="H83" t="s">
        <v>129</v>
      </c>
      <c r="I83" t="s">
        <v>63</v>
      </c>
      <c r="J83" t="s">
        <v>149</v>
      </c>
    </row>
    <row r="84" spans="1:10" x14ac:dyDescent="0.3">
      <c r="A84" t="s">
        <v>158</v>
      </c>
      <c r="B84" t="s">
        <v>10</v>
      </c>
      <c r="C84" t="s">
        <v>136</v>
      </c>
      <c r="D84" t="s">
        <v>92</v>
      </c>
      <c r="E84" s="14">
        <v>2025</v>
      </c>
      <c r="F84" s="19">
        <v>70000000</v>
      </c>
      <c r="G84" t="str">
        <f t="shared" si="2"/>
        <v>Yes</v>
      </c>
      <c r="H84" t="s">
        <v>129</v>
      </c>
      <c r="I84" t="s">
        <v>63</v>
      </c>
      <c r="J84" t="s">
        <v>150</v>
      </c>
    </row>
    <row r="85" spans="1:10" x14ac:dyDescent="0.3">
      <c r="A85" t="s">
        <v>159</v>
      </c>
      <c r="B85" t="s">
        <v>10</v>
      </c>
      <c r="C85" t="s">
        <v>136</v>
      </c>
      <c r="D85" t="s">
        <v>92</v>
      </c>
      <c r="E85" s="14">
        <v>2026</v>
      </c>
      <c r="F85" s="19">
        <v>95000000</v>
      </c>
      <c r="G85" t="str">
        <f t="shared" si="2"/>
        <v>Yes</v>
      </c>
      <c r="H85" t="s">
        <v>129</v>
      </c>
      <c r="I85" t="s">
        <v>63</v>
      </c>
      <c r="J85" t="s">
        <v>150</v>
      </c>
    </row>
    <row r="86" spans="1:10" x14ac:dyDescent="0.3">
      <c r="A86" t="s">
        <v>160</v>
      </c>
      <c r="B86" t="s">
        <v>10</v>
      </c>
      <c r="C86" t="s">
        <v>130</v>
      </c>
      <c r="D86" t="s">
        <v>67</v>
      </c>
      <c r="E86" s="14">
        <v>2025</v>
      </c>
      <c r="F86" s="19">
        <v>75000000</v>
      </c>
      <c r="G86" t="str">
        <f t="shared" si="2"/>
        <v>Yes</v>
      </c>
      <c r="H86" t="s">
        <v>129</v>
      </c>
      <c r="I86" t="s">
        <v>63</v>
      </c>
      <c r="J86" t="s">
        <v>151</v>
      </c>
    </row>
    <row r="87" spans="1:10" x14ac:dyDescent="0.3">
      <c r="A87" t="s">
        <v>161</v>
      </c>
      <c r="B87" t="s">
        <v>10</v>
      </c>
      <c r="C87" t="s">
        <v>131</v>
      </c>
      <c r="D87" t="s">
        <v>67</v>
      </c>
      <c r="E87" s="14">
        <v>2025</v>
      </c>
      <c r="F87" s="19">
        <v>140000000</v>
      </c>
      <c r="G87" t="str">
        <f t="shared" si="2"/>
        <v>Yes</v>
      </c>
      <c r="H87" t="s">
        <v>129</v>
      </c>
      <c r="I87" t="s">
        <v>63</v>
      </c>
      <c r="J87" t="s">
        <v>152</v>
      </c>
    </row>
    <row r="88" spans="1:10" x14ac:dyDescent="0.3">
      <c r="A88" t="s">
        <v>162</v>
      </c>
      <c r="B88" t="s">
        <v>10</v>
      </c>
      <c r="C88" t="s">
        <v>131</v>
      </c>
      <c r="D88" t="s">
        <v>67</v>
      </c>
      <c r="E88" s="14">
        <v>2026</v>
      </c>
      <c r="F88" s="19">
        <v>190000000</v>
      </c>
      <c r="G88" t="str">
        <f t="shared" si="2"/>
        <v>Yes</v>
      </c>
      <c r="H88" t="s">
        <v>129</v>
      </c>
      <c r="I88" t="s">
        <v>63</v>
      </c>
      <c r="J88" t="s">
        <v>152</v>
      </c>
    </row>
    <row r="89" spans="1:10" x14ac:dyDescent="0.3">
      <c r="A89" t="s">
        <v>163</v>
      </c>
      <c r="B89" t="s">
        <v>10</v>
      </c>
      <c r="C89" t="s">
        <v>136</v>
      </c>
      <c r="D89" t="s">
        <v>67</v>
      </c>
      <c r="E89" s="14">
        <v>2025</v>
      </c>
      <c r="F89" s="19">
        <v>170000000</v>
      </c>
      <c r="G89" t="str">
        <f t="shared" si="2"/>
        <v>Yes</v>
      </c>
      <c r="H89" t="s">
        <v>129</v>
      </c>
      <c r="I89" t="s">
        <v>63</v>
      </c>
      <c r="J89" t="s">
        <v>153</v>
      </c>
    </row>
    <row r="90" spans="1:10" x14ac:dyDescent="0.3">
      <c r="A90" t="s">
        <v>164</v>
      </c>
      <c r="B90" t="s">
        <v>10</v>
      </c>
      <c r="C90" t="s">
        <v>136</v>
      </c>
      <c r="D90" t="s">
        <v>67</v>
      </c>
      <c r="E90" s="14">
        <v>2026</v>
      </c>
      <c r="F90" s="19">
        <v>260000000</v>
      </c>
      <c r="G90" t="str">
        <f t="shared" si="2"/>
        <v>Yes</v>
      </c>
      <c r="H90" t="s">
        <v>129</v>
      </c>
      <c r="I90" t="s">
        <v>63</v>
      </c>
      <c r="J90" t="s">
        <v>153</v>
      </c>
    </row>
    <row r="91" spans="1:10" x14ac:dyDescent="0.3">
      <c r="A91" t="s">
        <v>165</v>
      </c>
      <c r="B91" t="s">
        <v>196</v>
      </c>
      <c r="C91" t="s">
        <v>197</v>
      </c>
      <c r="D91" t="s">
        <v>189</v>
      </c>
      <c r="E91" s="14">
        <v>2026</v>
      </c>
      <c r="F91" s="19">
        <v>3400000</v>
      </c>
      <c r="G91" t="str">
        <f t="shared" si="2"/>
        <v>Yes</v>
      </c>
      <c r="H91" t="s">
        <v>199</v>
      </c>
      <c r="I91" t="s">
        <v>190</v>
      </c>
      <c r="J91" t="s">
        <v>200</v>
      </c>
    </row>
    <row r="92" spans="1:10" x14ac:dyDescent="0.3">
      <c r="A92" t="s">
        <v>166</v>
      </c>
      <c r="B92" t="s">
        <v>196</v>
      </c>
      <c r="C92" t="s">
        <v>198</v>
      </c>
      <c r="D92" t="s">
        <v>189</v>
      </c>
      <c r="E92" s="14">
        <v>2026</v>
      </c>
      <c r="F92" s="19">
        <v>70</v>
      </c>
      <c r="G92" t="str">
        <f t="shared" si="2"/>
        <v>Yes</v>
      </c>
      <c r="H92" t="s">
        <v>201</v>
      </c>
      <c r="I92" t="s">
        <v>190</v>
      </c>
      <c r="J92" t="s">
        <v>200</v>
      </c>
    </row>
    <row r="93" spans="1:10" x14ac:dyDescent="0.3">
      <c r="A93" t="s">
        <v>167</v>
      </c>
      <c r="B93" t="s">
        <v>196</v>
      </c>
      <c r="C93" t="s">
        <v>202</v>
      </c>
      <c r="D93" t="s">
        <v>189</v>
      </c>
      <c r="E93" s="14">
        <v>2026</v>
      </c>
      <c r="F93" s="19">
        <v>40</v>
      </c>
      <c r="G93" t="str">
        <f t="shared" si="2"/>
        <v>Yes</v>
      </c>
      <c r="H93" t="s">
        <v>204</v>
      </c>
      <c r="I93" t="s">
        <v>190</v>
      </c>
      <c r="J93" t="s">
        <v>200</v>
      </c>
    </row>
    <row r="94" spans="1:10" x14ac:dyDescent="0.3">
      <c r="A94" t="s">
        <v>168</v>
      </c>
      <c r="B94" t="s">
        <v>196</v>
      </c>
      <c r="C94" t="s">
        <v>416</v>
      </c>
      <c r="D94" t="s">
        <v>189</v>
      </c>
      <c r="E94" s="14">
        <v>2026</v>
      </c>
      <c r="F94" s="19">
        <v>60</v>
      </c>
      <c r="G94" t="str">
        <f t="shared" si="2"/>
        <v>Yes</v>
      </c>
      <c r="H94" t="s">
        <v>204</v>
      </c>
      <c r="I94" t="s">
        <v>190</v>
      </c>
      <c r="J94" t="s">
        <v>200</v>
      </c>
    </row>
    <row r="95" spans="1:10" x14ac:dyDescent="0.3">
      <c r="A95" t="s">
        <v>169</v>
      </c>
      <c r="B95" t="s">
        <v>196</v>
      </c>
      <c r="C95" t="s">
        <v>206</v>
      </c>
      <c r="D95" t="s">
        <v>189</v>
      </c>
      <c r="E95" s="14">
        <v>2026</v>
      </c>
      <c r="F95" s="19">
        <v>600000</v>
      </c>
      <c r="G95" t="str">
        <f t="shared" si="2"/>
        <v>Yes</v>
      </c>
      <c r="H95" t="s">
        <v>205</v>
      </c>
      <c r="I95" t="s">
        <v>190</v>
      </c>
      <c r="J95" t="s">
        <v>200</v>
      </c>
    </row>
    <row r="96" spans="1:10" x14ac:dyDescent="0.3">
      <c r="A96" t="s">
        <v>170</v>
      </c>
      <c r="B96" t="s">
        <v>196</v>
      </c>
      <c r="C96" t="s">
        <v>207</v>
      </c>
      <c r="D96" t="s">
        <v>189</v>
      </c>
      <c r="E96" s="14">
        <v>2026</v>
      </c>
      <c r="F96" s="19">
        <v>1490000</v>
      </c>
      <c r="G96" t="str">
        <f t="shared" si="2"/>
        <v>Yes</v>
      </c>
      <c r="H96" t="s">
        <v>199</v>
      </c>
      <c r="I96" t="s">
        <v>191</v>
      </c>
      <c r="J96" t="s">
        <v>210</v>
      </c>
    </row>
    <row r="97" spans="1:10" x14ac:dyDescent="0.3">
      <c r="A97" t="s">
        <v>171</v>
      </c>
      <c r="B97" t="s">
        <v>196</v>
      </c>
      <c r="C97" t="s">
        <v>208</v>
      </c>
      <c r="D97" t="s">
        <v>189</v>
      </c>
      <c r="E97" s="14">
        <v>2026</v>
      </c>
      <c r="F97" s="19">
        <v>4690000</v>
      </c>
      <c r="G97" t="str">
        <f t="shared" ref="G97:G128" si="3">IF(ISNUMBER(F97),"Yes","No")</f>
        <v>Yes</v>
      </c>
      <c r="H97" t="s">
        <v>199</v>
      </c>
      <c r="I97" t="s">
        <v>191</v>
      </c>
      <c r="J97" t="s">
        <v>210</v>
      </c>
    </row>
    <row r="98" spans="1:10" x14ac:dyDescent="0.3">
      <c r="A98" t="s">
        <v>172</v>
      </c>
      <c r="B98" t="s">
        <v>196</v>
      </c>
      <c r="C98" t="s">
        <v>209</v>
      </c>
      <c r="D98" t="s">
        <v>189</v>
      </c>
      <c r="E98" s="14">
        <v>2026</v>
      </c>
      <c r="F98" s="19">
        <v>2810000</v>
      </c>
      <c r="G98" t="str">
        <f t="shared" si="3"/>
        <v>Yes</v>
      </c>
      <c r="H98" t="s">
        <v>199</v>
      </c>
      <c r="I98" t="s">
        <v>191</v>
      </c>
      <c r="J98" t="s">
        <v>210</v>
      </c>
    </row>
    <row r="99" spans="1:10" x14ac:dyDescent="0.3">
      <c r="A99" t="s">
        <v>173</v>
      </c>
      <c r="B99" t="s">
        <v>196</v>
      </c>
      <c r="C99" t="s">
        <v>206</v>
      </c>
      <c r="D99" t="s">
        <v>189</v>
      </c>
      <c r="E99" s="14">
        <v>2026</v>
      </c>
      <c r="F99" s="19">
        <v>475000</v>
      </c>
      <c r="G99" t="str">
        <f t="shared" si="3"/>
        <v>Yes</v>
      </c>
      <c r="H99" t="s">
        <v>205</v>
      </c>
      <c r="I99" t="s">
        <v>191</v>
      </c>
      <c r="J99" t="s">
        <v>210</v>
      </c>
    </row>
    <row r="100" spans="1:10" x14ac:dyDescent="0.3">
      <c r="A100" t="s">
        <v>174</v>
      </c>
      <c r="B100" t="s">
        <v>196</v>
      </c>
      <c r="C100" t="s">
        <v>211</v>
      </c>
      <c r="D100" t="s">
        <v>189</v>
      </c>
      <c r="E100" s="14">
        <v>2026</v>
      </c>
      <c r="F100" s="19">
        <v>20000000</v>
      </c>
      <c r="G100" t="str">
        <f t="shared" si="3"/>
        <v>Yes</v>
      </c>
      <c r="H100" t="s">
        <v>215</v>
      </c>
      <c r="I100" t="s">
        <v>192</v>
      </c>
      <c r="J100" t="s">
        <v>217</v>
      </c>
    </row>
    <row r="101" spans="1:10" x14ac:dyDescent="0.3">
      <c r="A101" t="s">
        <v>175</v>
      </c>
      <c r="B101" t="s">
        <v>196</v>
      </c>
      <c r="C101" t="s">
        <v>212</v>
      </c>
      <c r="D101" t="s">
        <v>189</v>
      </c>
      <c r="E101" s="14">
        <v>2026</v>
      </c>
      <c r="F101" s="19">
        <v>3.8</v>
      </c>
      <c r="G101" t="str">
        <f t="shared" si="3"/>
        <v>Yes</v>
      </c>
      <c r="H101" t="s">
        <v>216</v>
      </c>
      <c r="I101" t="s">
        <v>192</v>
      </c>
      <c r="J101" t="s">
        <v>217</v>
      </c>
    </row>
    <row r="102" spans="1:10" x14ac:dyDescent="0.3">
      <c r="A102" t="s">
        <v>176</v>
      </c>
      <c r="B102" t="s">
        <v>196</v>
      </c>
      <c r="C102" t="s">
        <v>213</v>
      </c>
      <c r="D102" t="s">
        <v>189</v>
      </c>
      <c r="E102" s="14">
        <v>2026</v>
      </c>
      <c r="F102" s="19">
        <v>80</v>
      </c>
      <c r="G102" t="str">
        <f t="shared" si="3"/>
        <v>Yes</v>
      </c>
      <c r="H102" t="s">
        <v>201</v>
      </c>
      <c r="I102" t="s">
        <v>193</v>
      </c>
      <c r="J102" t="s">
        <v>217</v>
      </c>
    </row>
    <row r="103" spans="1:10" x14ac:dyDescent="0.3">
      <c r="A103" t="s">
        <v>177</v>
      </c>
      <c r="B103" t="s">
        <v>196</v>
      </c>
      <c r="C103" t="s">
        <v>214</v>
      </c>
      <c r="D103" t="s">
        <v>189</v>
      </c>
      <c r="E103" s="14">
        <v>2026</v>
      </c>
      <c r="F103" s="19">
        <v>50</v>
      </c>
      <c r="G103" t="str">
        <f t="shared" si="3"/>
        <v>Yes</v>
      </c>
      <c r="H103" t="s">
        <v>204</v>
      </c>
      <c r="I103" t="s">
        <v>193</v>
      </c>
      <c r="J103" t="s">
        <v>217</v>
      </c>
    </row>
    <row r="104" spans="1:10" x14ac:dyDescent="0.3">
      <c r="A104" t="s">
        <v>178</v>
      </c>
      <c r="B104" t="s">
        <v>196</v>
      </c>
      <c r="C104" t="s">
        <v>218</v>
      </c>
      <c r="D104" t="s">
        <v>189</v>
      </c>
      <c r="E104" s="14">
        <v>2026</v>
      </c>
      <c r="F104" s="19">
        <v>6000</v>
      </c>
      <c r="G104" t="str">
        <f t="shared" si="3"/>
        <v>Yes</v>
      </c>
      <c r="H104" t="s">
        <v>226</v>
      </c>
      <c r="I104" t="s">
        <v>192</v>
      </c>
      <c r="J104" t="s">
        <v>217</v>
      </c>
    </row>
    <row r="105" spans="1:10" x14ac:dyDescent="0.3">
      <c r="A105" t="s">
        <v>179</v>
      </c>
      <c r="B105" t="s">
        <v>196</v>
      </c>
      <c r="C105" t="s">
        <v>197</v>
      </c>
      <c r="D105" t="s">
        <v>189</v>
      </c>
      <c r="E105" s="14">
        <v>2016</v>
      </c>
      <c r="F105" s="19">
        <v>2950000</v>
      </c>
      <c r="G105" t="str">
        <f t="shared" si="3"/>
        <v>Yes</v>
      </c>
      <c r="H105" t="s">
        <v>199</v>
      </c>
      <c r="I105" t="s">
        <v>194</v>
      </c>
      <c r="J105" t="s">
        <v>228</v>
      </c>
    </row>
    <row r="106" spans="1:10" x14ac:dyDescent="0.3">
      <c r="A106" t="s">
        <v>180</v>
      </c>
      <c r="B106" t="s">
        <v>196</v>
      </c>
      <c r="C106" t="s">
        <v>219</v>
      </c>
      <c r="D106" t="s">
        <v>189</v>
      </c>
      <c r="E106" s="14">
        <v>2025</v>
      </c>
      <c r="F106" s="19">
        <v>12</v>
      </c>
      <c r="G106" t="str">
        <f t="shared" si="3"/>
        <v>Yes</v>
      </c>
      <c r="H106" t="s">
        <v>418</v>
      </c>
      <c r="I106" t="s">
        <v>194</v>
      </c>
      <c r="J106" s="1" t="s">
        <v>228</v>
      </c>
    </row>
    <row r="107" spans="1:10" x14ac:dyDescent="0.3">
      <c r="A107" t="s">
        <v>181</v>
      </c>
      <c r="B107" t="s">
        <v>196</v>
      </c>
      <c r="C107" t="s">
        <v>220</v>
      </c>
      <c r="D107" t="s">
        <v>189</v>
      </c>
      <c r="E107" s="14">
        <v>2025</v>
      </c>
      <c r="F107" s="19">
        <v>15</v>
      </c>
      <c r="G107" t="str">
        <f t="shared" si="3"/>
        <v>Yes</v>
      </c>
      <c r="H107" t="s">
        <v>201</v>
      </c>
      <c r="I107" t="s">
        <v>194</v>
      </c>
      <c r="J107" t="s">
        <v>228</v>
      </c>
    </row>
    <row r="108" spans="1:10" x14ac:dyDescent="0.3">
      <c r="A108" t="s">
        <v>182</v>
      </c>
      <c r="B108" t="s">
        <v>196</v>
      </c>
      <c r="C108" t="s">
        <v>417</v>
      </c>
      <c r="D108" t="s">
        <v>189</v>
      </c>
      <c r="E108" s="14">
        <v>2025</v>
      </c>
      <c r="F108" s="19">
        <v>18</v>
      </c>
      <c r="G108" t="str">
        <f t="shared" si="3"/>
        <v>Yes</v>
      </c>
      <c r="H108" t="s">
        <v>201</v>
      </c>
      <c r="I108" t="s">
        <v>194</v>
      </c>
      <c r="J108" t="s">
        <v>228</v>
      </c>
    </row>
    <row r="109" spans="1:10" x14ac:dyDescent="0.3">
      <c r="A109" t="s">
        <v>183</v>
      </c>
      <c r="B109" t="s">
        <v>196</v>
      </c>
      <c r="C109" t="s">
        <v>409</v>
      </c>
      <c r="D109" t="s">
        <v>189</v>
      </c>
      <c r="E109" s="14">
        <v>2025</v>
      </c>
      <c r="F109" s="19">
        <v>15</v>
      </c>
      <c r="G109" t="str">
        <f t="shared" si="3"/>
        <v>Yes</v>
      </c>
      <c r="H109" t="s">
        <v>201</v>
      </c>
      <c r="I109" t="s">
        <v>194</v>
      </c>
      <c r="J109" t="s">
        <v>228</v>
      </c>
    </row>
    <row r="110" spans="1:10" x14ac:dyDescent="0.3">
      <c r="A110" t="s">
        <v>184</v>
      </c>
      <c r="B110" t="s">
        <v>196</v>
      </c>
      <c r="C110" t="s">
        <v>223</v>
      </c>
      <c r="D110" t="s">
        <v>189</v>
      </c>
      <c r="E110" s="14">
        <v>2026</v>
      </c>
      <c r="F110" s="19">
        <v>22000000</v>
      </c>
      <c r="G110" t="str">
        <f t="shared" si="3"/>
        <v>Yes</v>
      </c>
      <c r="H110" t="s">
        <v>215</v>
      </c>
      <c r="I110" t="s">
        <v>195</v>
      </c>
      <c r="J110" t="s">
        <v>229</v>
      </c>
    </row>
    <row r="111" spans="1:10" x14ac:dyDescent="0.3">
      <c r="A111" t="s">
        <v>185</v>
      </c>
      <c r="B111" t="s">
        <v>196</v>
      </c>
      <c r="C111" t="s">
        <v>218</v>
      </c>
      <c r="D111" t="s">
        <v>189</v>
      </c>
      <c r="E111" s="14">
        <v>2026</v>
      </c>
      <c r="F111" s="19">
        <v>6000</v>
      </c>
      <c r="G111" t="str">
        <f t="shared" si="3"/>
        <v>Yes</v>
      </c>
      <c r="H111" t="s">
        <v>226</v>
      </c>
      <c r="I111" t="s">
        <v>195</v>
      </c>
      <c r="J111" t="s">
        <v>229</v>
      </c>
    </row>
    <row r="112" spans="1:10" x14ac:dyDescent="0.3">
      <c r="A112" t="s">
        <v>186</v>
      </c>
      <c r="B112" t="s">
        <v>196</v>
      </c>
      <c r="C112" t="s">
        <v>224</v>
      </c>
      <c r="D112" t="s">
        <v>189</v>
      </c>
      <c r="E112" s="14">
        <v>2026</v>
      </c>
      <c r="F112" s="19">
        <v>3000</v>
      </c>
      <c r="G112" t="str">
        <f t="shared" si="3"/>
        <v>Yes</v>
      </c>
      <c r="H112" t="s">
        <v>226</v>
      </c>
      <c r="I112" t="s">
        <v>195</v>
      </c>
      <c r="J112" t="s">
        <v>229</v>
      </c>
    </row>
    <row r="113" spans="1:10" x14ac:dyDescent="0.3">
      <c r="A113" t="s">
        <v>230</v>
      </c>
      <c r="B113" t="s">
        <v>237</v>
      </c>
      <c r="C113" t="s">
        <v>240</v>
      </c>
      <c r="D113" t="s">
        <v>189</v>
      </c>
      <c r="E113" s="14">
        <v>2026</v>
      </c>
      <c r="F113" s="19">
        <v>34800</v>
      </c>
      <c r="G113" t="str">
        <f t="shared" si="3"/>
        <v>Yes</v>
      </c>
      <c r="H113" t="s">
        <v>199</v>
      </c>
      <c r="I113" t="s">
        <v>239</v>
      </c>
      <c r="J113" t="s">
        <v>238</v>
      </c>
    </row>
    <row r="114" spans="1:10" x14ac:dyDescent="0.3">
      <c r="A114" t="s">
        <v>231</v>
      </c>
      <c r="B114" t="s">
        <v>237</v>
      </c>
      <c r="C114" t="s">
        <v>243</v>
      </c>
      <c r="D114" t="s">
        <v>189</v>
      </c>
      <c r="E114" s="14">
        <v>2026</v>
      </c>
      <c r="F114" s="19">
        <v>227576</v>
      </c>
      <c r="G114" t="str">
        <f t="shared" si="3"/>
        <v>Yes</v>
      </c>
      <c r="H114" t="s">
        <v>242</v>
      </c>
      <c r="I114" t="s">
        <v>192</v>
      </c>
      <c r="J114" t="s">
        <v>241</v>
      </c>
    </row>
    <row r="115" spans="1:10" x14ac:dyDescent="0.3">
      <c r="A115" t="s">
        <v>232</v>
      </c>
      <c r="B115" t="s">
        <v>237</v>
      </c>
      <c r="C115" t="s">
        <v>245</v>
      </c>
      <c r="D115" t="s">
        <v>189</v>
      </c>
      <c r="E115" s="14">
        <v>2026</v>
      </c>
      <c r="F115" s="19">
        <v>5</v>
      </c>
      <c r="G115" t="str">
        <f t="shared" si="3"/>
        <v>Yes</v>
      </c>
      <c r="H115" t="s">
        <v>247</v>
      </c>
      <c r="I115" t="s">
        <v>250</v>
      </c>
      <c r="J115" t="s">
        <v>252</v>
      </c>
    </row>
    <row r="116" spans="1:10" x14ac:dyDescent="0.3">
      <c r="A116" t="s">
        <v>233</v>
      </c>
      <c r="B116" t="s">
        <v>237</v>
      </c>
      <c r="C116" t="s">
        <v>244</v>
      </c>
      <c r="D116" t="s">
        <v>189</v>
      </c>
      <c r="E116" s="14">
        <v>2026</v>
      </c>
      <c r="F116" s="19">
        <v>55</v>
      </c>
      <c r="G116" t="str">
        <f t="shared" si="3"/>
        <v>Yes</v>
      </c>
      <c r="H116" t="s">
        <v>248</v>
      </c>
      <c r="I116" t="s">
        <v>250</v>
      </c>
      <c r="J116" t="s">
        <v>252</v>
      </c>
    </row>
    <row r="117" spans="1:10" x14ac:dyDescent="0.3">
      <c r="A117" t="s">
        <v>234</v>
      </c>
      <c r="B117" t="s">
        <v>237</v>
      </c>
      <c r="C117" t="s">
        <v>246</v>
      </c>
      <c r="D117" t="s">
        <v>189</v>
      </c>
      <c r="E117" s="14">
        <v>2025</v>
      </c>
      <c r="F117" s="19">
        <v>10200</v>
      </c>
      <c r="G117" t="str">
        <f t="shared" si="3"/>
        <v>Yes</v>
      </c>
      <c r="H117" t="s">
        <v>415</v>
      </c>
      <c r="I117" t="s">
        <v>251</v>
      </c>
      <c r="J117" t="s">
        <v>253</v>
      </c>
    </row>
    <row r="118" spans="1:10" x14ac:dyDescent="0.3">
      <c r="A118" t="s">
        <v>256</v>
      </c>
      <c r="B118" t="s">
        <v>276</v>
      </c>
      <c r="C118" t="s">
        <v>257</v>
      </c>
      <c r="D118" t="s">
        <v>258</v>
      </c>
      <c r="E118" s="14">
        <v>2021</v>
      </c>
      <c r="F118" s="19">
        <v>16.95</v>
      </c>
      <c r="G118" t="str">
        <f t="shared" si="3"/>
        <v>Yes</v>
      </c>
      <c r="H118" t="s">
        <v>201</v>
      </c>
      <c r="I118" t="s">
        <v>259</v>
      </c>
      <c r="J118" t="s">
        <v>260</v>
      </c>
    </row>
    <row r="119" spans="1:10" x14ac:dyDescent="0.3">
      <c r="A119" t="s">
        <v>261</v>
      </c>
      <c r="B119" t="s">
        <v>276</v>
      </c>
      <c r="C119" t="s">
        <v>257</v>
      </c>
      <c r="D119" t="s">
        <v>258</v>
      </c>
      <c r="E119" s="14">
        <v>2022</v>
      </c>
      <c r="F119" s="19">
        <v>18.850000000000001</v>
      </c>
      <c r="G119" t="str">
        <f t="shared" si="3"/>
        <v>Yes</v>
      </c>
      <c r="H119" t="s">
        <v>201</v>
      </c>
      <c r="I119" t="s">
        <v>259</v>
      </c>
      <c r="J119" t="s">
        <v>260</v>
      </c>
    </row>
    <row r="120" spans="1:10" x14ac:dyDescent="0.3">
      <c r="A120" t="s">
        <v>262</v>
      </c>
      <c r="B120" t="s">
        <v>276</v>
      </c>
      <c r="C120" t="s">
        <v>257</v>
      </c>
      <c r="D120" t="s">
        <v>258</v>
      </c>
      <c r="E120" s="14">
        <v>2023</v>
      </c>
      <c r="F120" s="19">
        <v>24.66</v>
      </c>
      <c r="G120" t="str">
        <f t="shared" si="3"/>
        <v>Yes</v>
      </c>
      <c r="H120" t="s">
        <v>201</v>
      </c>
      <c r="I120" t="s">
        <v>259</v>
      </c>
      <c r="J120" t="s">
        <v>260</v>
      </c>
    </row>
    <row r="121" spans="1:10" x14ac:dyDescent="0.3">
      <c r="A121" t="s">
        <v>263</v>
      </c>
      <c r="B121" t="s">
        <v>276</v>
      </c>
      <c r="C121" t="s">
        <v>257</v>
      </c>
      <c r="D121" t="s">
        <v>258</v>
      </c>
      <c r="E121" s="14">
        <v>2024</v>
      </c>
      <c r="F121" s="19">
        <v>33.24</v>
      </c>
      <c r="G121" t="str">
        <f t="shared" si="3"/>
        <v>Yes</v>
      </c>
      <c r="H121" t="s">
        <v>201</v>
      </c>
      <c r="I121" t="s">
        <v>259</v>
      </c>
      <c r="J121" t="s">
        <v>260</v>
      </c>
    </row>
    <row r="122" spans="1:10" x14ac:dyDescent="0.3">
      <c r="A122" t="s">
        <v>264</v>
      </c>
      <c r="B122" t="s">
        <v>276</v>
      </c>
      <c r="C122" t="s">
        <v>257</v>
      </c>
      <c r="D122" t="s">
        <v>258</v>
      </c>
      <c r="E122" s="14">
        <v>2025</v>
      </c>
      <c r="F122" s="19">
        <v>23.01</v>
      </c>
      <c r="G122" t="str">
        <f t="shared" si="3"/>
        <v>Yes</v>
      </c>
      <c r="H122" t="s">
        <v>201</v>
      </c>
      <c r="I122" t="s">
        <v>259</v>
      </c>
      <c r="J122" t="s">
        <v>260</v>
      </c>
    </row>
    <row r="123" spans="1:10" x14ac:dyDescent="0.3">
      <c r="A123" t="s">
        <v>267</v>
      </c>
      <c r="B123" t="s">
        <v>276</v>
      </c>
      <c r="C123" t="s">
        <v>273</v>
      </c>
      <c r="D123" t="s">
        <v>258</v>
      </c>
      <c r="E123" s="14">
        <v>2020</v>
      </c>
      <c r="F123" s="19">
        <v>-6.37</v>
      </c>
      <c r="G123" t="str">
        <f t="shared" si="3"/>
        <v>Yes</v>
      </c>
      <c r="H123" t="s">
        <v>201</v>
      </c>
      <c r="I123" t="s">
        <v>274</v>
      </c>
      <c r="J123" t="s">
        <v>275</v>
      </c>
    </row>
    <row r="124" spans="1:10" x14ac:dyDescent="0.3">
      <c r="A124" t="s">
        <v>268</v>
      </c>
      <c r="B124" t="s">
        <v>276</v>
      </c>
      <c r="C124" t="s">
        <v>273</v>
      </c>
      <c r="D124" t="s">
        <v>258</v>
      </c>
      <c r="E124" s="14">
        <v>2021</v>
      </c>
      <c r="F124" s="19">
        <v>1.1100000000000001</v>
      </c>
      <c r="G124" t="str">
        <f t="shared" si="3"/>
        <v>Yes</v>
      </c>
      <c r="H124" t="s">
        <v>201</v>
      </c>
      <c r="I124" t="s">
        <v>274</v>
      </c>
      <c r="J124" t="s">
        <v>275</v>
      </c>
    </row>
    <row r="125" spans="1:10" x14ac:dyDescent="0.3">
      <c r="A125" t="s">
        <v>269</v>
      </c>
      <c r="B125" t="s">
        <v>276</v>
      </c>
      <c r="C125" t="s">
        <v>273</v>
      </c>
      <c r="D125" t="s">
        <v>258</v>
      </c>
      <c r="E125" s="14">
        <v>2022</v>
      </c>
      <c r="F125" s="19">
        <v>4.32</v>
      </c>
      <c r="G125" t="str">
        <f t="shared" si="3"/>
        <v>Yes</v>
      </c>
      <c r="H125" t="s">
        <v>201</v>
      </c>
      <c r="I125" t="s">
        <v>274</v>
      </c>
      <c r="J125" t="s">
        <v>275</v>
      </c>
    </row>
    <row r="126" spans="1:10" x14ac:dyDescent="0.3">
      <c r="A126" t="s">
        <v>270</v>
      </c>
      <c r="B126" t="s">
        <v>276</v>
      </c>
      <c r="C126" t="s">
        <v>273</v>
      </c>
      <c r="D126" t="s">
        <v>258</v>
      </c>
      <c r="E126" s="14">
        <v>2023</v>
      </c>
      <c r="F126" s="19">
        <v>3.33</v>
      </c>
      <c r="G126" t="str">
        <f t="shared" si="3"/>
        <v>Yes</v>
      </c>
      <c r="H126" t="s">
        <v>201</v>
      </c>
      <c r="I126" t="s">
        <v>274</v>
      </c>
      <c r="J126" t="s">
        <v>275</v>
      </c>
    </row>
    <row r="127" spans="1:10" x14ac:dyDescent="0.3">
      <c r="A127" t="s">
        <v>271</v>
      </c>
      <c r="B127" t="s">
        <v>276</v>
      </c>
      <c r="C127" t="s">
        <v>273</v>
      </c>
      <c r="D127" t="s">
        <v>258</v>
      </c>
      <c r="E127" s="14">
        <v>2024</v>
      </c>
      <c r="F127" s="19">
        <v>3.38</v>
      </c>
      <c r="G127" t="str">
        <f t="shared" si="3"/>
        <v>Yes</v>
      </c>
      <c r="H127" t="s">
        <v>201</v>
      </c>
      <c r="I127" t="s">
        <v>274</v>
      </c>
      <c r="J127" t="s">
        <v>275</v>
      </c>
    </row>
    <row r="128" spans="1:10" x14ac:dyDescent="0.3">
      <c r="A128" t="s">
        <v>272</v>
      </c>
      <c r="B128" t="s">
        <v>276</v>
      </c>
      <c r="C128" t="s">
        <v>273</v>
      </c>
      <c r="D128" t="s">
        <v>258</v>
      </c>
      <c r="E128" s="14">
        <v>2025</v>
      </c>
      <c r="F128" s="19">
        <v>3.87</v>
      </c>
      <c r="G128" t="str">
        <f t="shared" si="3"/>
        <v>Yes</v>
      </c>
      <c r="H128" t="s">
        <v>201</v>
      </c>
      <c r="I128" t="s">
        <v>274</v>
      </c>
      <c r="J128" t="s">
        <v>275</v>
      </c>
    </row>
    <row r="129" spans="1:10" x14ac:dyDescent="0.3">
      <c r="A129" t="s">
        <v>277</v>
      </c>
      <c r="B129" t="s">
        <v>276</v>
      </c>
      <c r="C129" t="s">
        <v>410</v>
      </c>
      <c r="D129" t="s">
        <v>258</v>
      </c>
      <c r="E129" s="14">
        <v>2024</v>
      </c>
      <c r="F129" s="19">
        <v>1535</v>
      </c>
      <c r="G129" t="str">
        <f t="shared" ref="G129:G160" si="4">IF(ISNUMBER(F129),"Yes","No")</f>
        <v>Yes</v>
      </c>
      <c r="H129" t="s">
        <v>282</v>
      </c>
      <c r="I129" t="s">
        <v>283</v>
      </c>
      <c r="J129" t="s">
        <v>284</v>
      </c>
    </row>
    <row r="130" spans="1:10" x14ac:dyDescent="0.3">
      <c r="A130" t="s">
        <v>278</v>
      </c>
      <c r="B130" t="s">
        <v>276</v>
      </c>
      <c r="C130" t="s">
        <v>410</v>
      </c>
      <c r="D130" t="s">
        <v>258</v>
      </c>
      <c r="E130" s="14">
        <v>2025</v>
      </c>
      <c r="F130" s="19">
        <v>1429</v>
      </c>
      <c r="G130" t="str">
        <f t="shared" si="4"/>
        <v>Yes</v>
      </c>
      <c r="H130" t="s">
        <v>282</v>
      </c>
      <c r="I130" t="s">
        <v>283</v>
      </c>
      <c r="J130" t="s">
        <v>284</v>
      </c>
    </row>
    <row r="131" spans="1:10" x14ac:dyDescent="0.3">
      <c r="A131" t="s">
        <v>279</v>
      </c>
      <c r="B131" t="s">
        <v>276</v>
      </c>
      <c r="C131" t="s">
        <v>285</v>
      </c>
      <c r="D131" t="s">
        <v>258</v>
      </c>
      <c r="E131" s="14">
        <v>2024</v>
      </c>
      <c r="F131" s="19">
        <v>27.5</v>
      </c>
      <c r="G131" t="str">
        <f t="shared" si="4"/>
        <v>Yes</v>
      </c>
      <c r="H131" t="s">
        <v>201</v>
      </c>
      <c r="I131" t="s">
        <v>286</v>
      </c>
      <c r="J131" t="s">
        <v>287</v>
      </c>
    </row>
    <row r="132" spans="1:10" x14ac:dyDescent="0.3">
      <c r="A132" t="s">
        <v>280</v>
      </c>
      <c r="B132" t="s">
        <v>276</v>
      </c>
      <c r="C132" t="s">
        <v>285</v>
      </c>
      <c r="D132" t="s">
        <v>258</v>
      </c>
      <c r="E132" s="14">
        <v>2025</v>
      </c>
      <c r="F132" s="19">
        <v>27</v>
      </c>
      <c r="G132" t="str">
        <f t="shared" si="4"/>
        <v>Yes</v>
      </c>
      <c r="H132" t="s">
        <v>201</v>
      </c>
      <c r="I132" t="s">
        <v>286</v>
      </c>
      <c r="J132" t="s">
        <v>287</v>
      </c>
    </row>
    <row r="133" spans="1:10" x14ac:dyDescent="0.3">
      <c r="A133" t="s">
        <v>392</v>
      </c>
      <c r="B133" t="s">
        <v>288</v>
      </c>
      <c r="C133" t="s">
        <v>289</v>
      </c>
      <c r="D133" t="s">
        <v>189</v>
      </c>
      <c r="E133" s="14">
        <v>2026</v>
      </c>
      <c r="F133" s="19">
        <v>10</v>
      </c>
      <c r="G133" t="str">
        <f t="shared" si="4"/>
        <v>Yes</v>
      </c>
      <c r="H133" t="s">
        <v>309</v>
      </c>
      <c r="I133" t="s">
        <v>317</v>
      </c>
      <c r="J133" t="s">
        <v>322</v>
      </c>
    </row>
    <row r="134" spans="1:10" x14ac:dyDescent="0.3">
      <c r="A134" t="s">
        <v>393</v>
      </c>
      <c r="B134" t="s">
        <v>288</v>
      </c>
      <c r="C134" t="s">
        <v>290</v>
      </c>
      <c r="D134" t="s">
        <v>189</v>
      </c>
      <c r="E134" s="14">
        <v>2026</v>
      </c>
      <c r="F134" s="19">
        <v>15</v>
      </c>
      <c r="G134" t="str">
        <f t="shared" si="4"/>
        <v>Yes</v>
      </c>
      <c r="H134" t="s">
        <v>310</v>
      </c>
      <c r="I134" t="s">
        <v>317</v>
      </c>
      <c r="J134" t="s">
        <v>322</v>
      </c>
    </row>
    <row r="135" spans="1:10" x14ac:dyDescent="0.3">
      <c r="A135" t="s">
        <v>394</v>
      </c>
      <c r="B135" t="s">
        <v>288</v>
      </c>
      <c r="C135" t="s">
        <v>291</v>
      </c>
      <c r="D135" t="s">
        <v>189</v>
      </c>
      <c r="E135" s="14">
        <v>2026</v>
      </c>
      <c r="F135" s="19">
        <v>12.5</v>
      </c>
      <c r="G135" t="str">
        <f t="shared" si="4"/>
        <v>Yes</v>
      </c>
      <c r="H135" t="s">
        <v>311</v>
      </c>
      <c r="I135" t="s">
        <v>317</v>
      </c>
      <c r="J135" t="s">
        <v>322</v>
      </c>
    </row>
    <row r="136" spans="1:10" x14ac:dyDescent="0.3">
      <c r="A136" t="s">
        <v>395</v>
      </c>
      <c r="B136" t="s">
        <v>288</v>
      </c>
      <c r="C136" t="s">
        <v>292</v>
      </c>
      <c r="D136" t="s">
        <v>189</v>
      </c>
      <c r="E136" s="14">
        <v>2025</v>
      </c>
      <c r="F136" s="19">
        <v>3</v>
      </c>
      <c r="G136" t="str">
        <f t="shared" si="4"/>
        <v>Yes</v>
      </c>
      <c r="H136" t="s">
        <v>312</v>
      </c>
      <c r="I136" t="s">
        <v>318</v>
      </c>
      <c r="J136" t="s">
        <v>323</v>
      </c>
    </row>
    <row r="137" spans="1:10" x14ac:dyDescent="0.3">
      <c r="A137" t="s">
        <v>396</v>
      </c>
      <c r="B137" t="s">
        <v>288</v>
      </c>
      <c r="C137" t="s">
        <v>293</v>
      </c>
      <c r="D137" t="s">
        <v>189</v>
      </c>
      <c r="E137" s="14">
        <v>2025</v>
      </c>
      <c r="F137" s="19">
        <v>1</v>
      </c>
      <c r="G137" t="str">
        <f t="shared" si="4"/>
        <v>Yes</v>
      </c>
      <c r="H137" t="s">
        <v>313</v>
      </c>
      <c r="I137" t="s">
        <v>318</v>
      </c>
      <c r="J137" t="s">
        <v>323</v>
      </c>
    </row>
    <row r="138" spans="1:10" x14ac:dyDescent="0.3">
      <c r="A138" t="s">
        <v>397</v>
      </c>
      <c r="B138" t="s">
        <v>288</v>
      </c>
      <c r="C138" t="s">
        <v>294</v>
      </c>
      <c r="D138" t="s">
        <v>189</v>
      </c>
      <c r="E138" s="14">
        <v>2025</v>
      </c>
      <c r="F138" s="19">
        <v>5</v>
      </c>
      <c r="G138" t="str">
        <f t="shared" si="4"/>
        <v>Yes</v>
      </c>
      <c r="H138" t="s">
        <v>309</v>
      </c>
      <c r="I138" t="s">
        <v>318</v>
      </c>
      <c r="J138" t="s">
        <v>323</v>
      </c>
    </row>
    <row r="139" spans="1:10" x14ac:dyDescent="0.3">
      <c r="A139" t="s">
        <v>398</v>
      </c>
      <c r="B139" t="s">
        <v>288</v>
      </c>
      <c r="C139" t="s">
        <v>295</v>
      </c>
      <c r="D139" t="s">
        <v>258</v>
      </c>
      <c r="E139" s="14">
        <v>2025</v>
      </c>
      <c r="F139" s="19">
        <v>0</v>
      </c>
      <c r="G139" t="str">
        <f t="shared" si="4"/>
        <v>Yes</v>
      </c>
      <c r="H139" t="s">
        <v>201</v>
      </c>
      <c r="I139" t="s">
        <v>319</v>
      </c>
      <c r="J139" t="s">
        <v>324</v>
      </c>
    </row>
    <row r="140" spans="1:10" x14ac:dyDescent="0.3">
      <c r="A140" t="s">
        <v>399</v>
      </c>
      <c r="B140" t="s">
        <v>288</v>
      </c>
      <c r="C140" t="s">
        <v>296</v>
      </c>
      <c r="D140" t="s">
        <v>258</v>
      </c>
      <c r="E140" s="14">
        <v>2025</v>
      </c>
      <c r="F140" s="19">
        <v>7.5</v>
      </c>
      <c r="G140" t="str">
        <f t="shared" si="4"/>
        <v>Yes</v>
      </c>
      <c r="H140" t="s">
        <v>201</v>
      </c>
      <c r="I140" t="s">
        <v>319</v>
      </c>
      <c r="J140" t="s">
        <v>324</v>
      </c>
    </row>
    <row r="141" spans="1:10" x14ac:dyDescent="0.3">
      <c r="A141" t="s">
        <v>400</v>
      </c>
      <c r="B141" t="s">
        <v>288</v>
      </c>
      <c r="C141" t="s">
        <v>297</v>
      </c>
      <c r="D141" t="s">
        <v>189</v>
      </c>
      <c r="E141" s="14">
        <v>2025</v>
      </c>
      <c r="F141" s="19">
        <v>1.5</v>
      </c>
      <c r="G141" t="str">
        <f t="shared" si="4"/>
        <v>Yes</v>
      </c>
      <c r="H141" t="s">
        <v>201</v>
      </c>
      <c r="I141" t="s">
        <v>319</v>
      </c>
      <c r="J141" t="s">
        <v>324</v>
      </c>
    </row>
    <row r="142" spans="1:10" x14ac:dyDescent="0.3">
      <c r="A142" t="s">
        <v>401</v>
      </c>
      <c r="B142" t="s">
        <v>288</v>
      </c>
      <c r="C142" t="s">
        <v>298</v>
      </c>
      <c r="D142" t="s">
        <v>189</v>
      </c>
      <c r="E142" s="14">
        <v>2025</v>
      </c>
      <c r="F142" s="19">
        <v>0.5</v>
      </c>
      <c r="G142" t="str">
        <f t="shared" si="4"/>
        <v>Yes</v>
      </c>
      <c r="H142" t="s">
        <v>201</v>
      </c>
      <c r="I142" t="s">
        <v>319</v>
      </c>
      <c r="J142" t="s">
        <v>324</v>
      </c>
    </row>
    <row r="143" spans="1:10" x14ac:dyDescent="0.3">
      <c r="A143" t="s">
        <v>402</v>
      </c>
      <c r="B143" t="s">
        <v>288</v>
      </c>
      <c r="C143" t="s">
        <v>411</v>
      </c>
      <c r="D143" t="s">
        <v>258</v>
      </c>
      <c r="E143" s="14">
        <v>2025</v>
      </c>
      <c r="F143" s="19">
        <v>12.25</v>
      </c>
      <c r="G143" t="str">
        <f t="shared" si="4"/>
        <v>Yes</v>
      </c>
      <c r="H143" t="s">
        <v>201</v>
      </c>
      <c r="I143" t="s">
        <v>319</v>
      </c>
      <c r="J143" t="s">
        <v>324</v>
      </c>
    </row>
    <row r="144" spans="1:10" x14ac:dyDescent="0.3">
      <c r="A144" t="s">
        <v>403</v>
      </c>
      <c r="B144" t="s">
        <v>288</v>
      </c>
      <c r="C144" t="s">
        <v>412</v>
      </c>
      <c r="D144" t="s">
        <v>258</v>
      </c>
      <c r="E144" s="14">
        <v>2025</v>
      </c>
      <c r="F144" s="19">
        <v>30</v>
      </c>
      <c r="G144" t="str">
        <f t="shared" si="4"/>
        <v>Yes</v>
      </c>
      <c r="H144" t="s">
        <v>201</v>
      </c>
      <c r="I144" t="s">
        <v>319</v>
      </c>
      <c r="J144" t="s">
        <v>324</v>
      </c>
    </row>
    <row r="145" spans="1:10" x14ac:dyDescent="0.3">
      <c r="A145" t="s">
        <v>404</v>
      </c>
      <c r="B145" t="s">
        <v>288</v>
      </c>
      <c r="C145" t="s">
        <v>413</v>
      </c>
      <c r="D145" t="s">
        <v>258</v>
      </c>
      <c r="E145" s="14">
        <v>2026</v>
      </c>
      <c r="F145" s="19">
        <v>40</v>
      </c>
      <c r="G145" t="str">
        <f t="shared" si="4"/>
        <v>Yes</v>
      </c>
      <c r="H145" t="s">
        <v>314</v>
      </c>
      <c r="I145" t="s">
        <v>320</v>
      </c>
      <c r="J145" t="s">
        <v>325</v>
      </c>
    </row>
    <row r="146" spans="1:10" x14ac:dyDescent="0.3">
      <c r="A146" t="s">
        <v>405</v>
      </c>
      <c r="B146" t="s">
        <v>288</v>
      </c>
      <c r="C146" t="s">
        <v>302</v>
      </c>
      <c r="D146" t="s">
        <v>258</v>
      </c>
      <c r="E146" s="14">
        <v>2026</v>
      </c>
      <c r="F146" s="19">
        <v>2000</v>
      </c>
      <c r="G146" t="str">
        <f t="shared" si="4"/>
        <v>Yes</v>
      </c>
      <c r="H146" t="s">
        <v>315</v>
      </c>
      <c r="I146" t="s">
        <v>320</v>
      </c>
      <c r="J146" t="s">
        <v>325</v>
      </c>
    </row>
    <row r="147" spans="1:10" x14ac:dyDescent="0.3">
      <c r="A147" t="s">
        <v>406</v>
      </c>
      <c r="B147" t="s">
        <v>288</v>
      </c>
      <c r="C147" t="s">
        <v>303</v>
      </c>
      <c r="D147" t="s">
        <v>258</v>
      </c>
      <c r="E147" s="14">
        <v>2026</v>
      </c>
      <c r="F147" s="19">
        <v>14900000</v>
      </c>
      <c r="G147" t="str">
        <f t="shared" si="4"/>
        <v>Yes</v>
      </c>
      <c r="H147" t="s">
        <v>199</v>
      </c>
      <c r="I147" t="s">
        <v>320</v>
      </c>
      <c r="J147" t="s">
        <v>325</v>
      </c>
    </row>
    <row r="148" spans="1:10" x14ac:dyDescent="0.3">
      <c r="A148" t="s">
        <v>407</v>
      </c>
      <c r="B148" t="s">
        <v>288</v>
      </c>
      <c r="C148" t="s">
        <v>304</v>
      </c>
      <c r="D148" t="s">
        <v>189</v>
      </c>
      <c r="E148" s="14">
        <v>2025</v>
      </c>
      <c r="F148" s="19">
        <v>1000000</v>
      </c>
      <c r="G148" t="str">
        <f t="shared" si="4"/>
        <v>Yes</v>
      </c>
      <c r="H148" t="s">
        <v>129</v>
      </c>
      <c r="I148" t="s">
        <v>321</v>
      </c>
      <c r="J148" t="s">
        <v>326</v>
      </c>
    </row>
    <row r="149" spans="1:10" x14ac:dyDescent="0.3">
      <c r="A149" t="s">
        <v>408</v>
      </c>
      <c r="B149" t="s">
        <v>288</v>
      </c>
      <c r="C149" t="s">
        <v>306</v>
      </c>
      <c r="D149" t="s">
        <v>189</v>
      </c>
      <c r="E149" s="14">
        <v>2025</v>
      </c>
      <c r="F149" s="19">
        <v>14</v>
      </c>
      <c r="G149" t="str">
        <f t="shared" si="4"/>
        <v>Yes</v>
      </c>
      <c r="H149" t="s">
        <v>316</v>
      </c>
      <c r="I149" t="s">
        <v>321</v>
      </c>
      <c r="J149" t="s">
        <v>326</v>
      </c>
    </row>
    <row r="150" spans="1:10" x14ac:dyDescent="0.3">
      <c r="A150" t="s">
        <v>327</v>
      </c>
      <c r="B150" t="s">
        <v>344</v>
      </c>
      <c r="C150" t="s">
        <v>345</v>
      </c>
      <c r="D150" t="s">
        <v>189</v>
      </c>
      <c r="E150" s="14">
        <v>2026</v>
      </c>
      <c r="F150" s="19">
        <v>10</v>
      </c>
      <c r="G150" t="str">
        <f t="shared" si="4"/>
        <v>Yes</v>
      </c>
      <c r="H150" t="s">
        <v>372</v>
      </c>
      <c r="I150" t="s">
        <v>378</v>
      </c>
      <c r="J150" t="s">
        <v>386</v>
      </c>
    </row>
    <row r="151" spans="1:10" x14ac:dyDescent="0.3">
      <c r="A151" t="s">
        <v>328</v>
      </c>
      <c r="B151" t="s">
        <v>344</v>
      </c>
      <c r="C151" t="s">
        <v>347</v>
      </c>
      <c r="D151" t="s">
        <v>189</v>
      </c>
      <c r="E151" s="14">
        <v>2026</v>
      </c>
      <c r="F151" s="19" t="s">
        <v>360</v>
      </c>
      <c r="G151" t="str">
        <f t="shared" si="4"/>
        <v>No</v>
      </c>
      <c r="H151" t="s">
        <v>4</v>
      </c>
      <c r="I151" t="s">
        <v>378</v>
      </c>
      <c r="J151" t="s">
        <v>386</v>
      </c>
    </row>
    <row r="152" spans="1:10" x14ac:dyDescent="0.3">
      <c r="A152" t="s">
        <v>329</v>
      </c>
      <c r="B152" t="s">
        <v>344</v>
      </c>
      <c r="C152" t="s">
        <v>346</v>
      </c>
      <c r="D152" t="s">
        <v>355</v>
      </c>
      <c r="E152" s="14">
        <v>2026</v>
      </c>
      <c r="F152" s="19" t="s">
        <v>361</v>
      </c>
      <c r="G152" t="str">
        <f t="shared" si="4"/>
        <v>No</v>
      </c>
      <c r="H152" t="s">
        <v>352</v>
      </c>
      <c r="I152" t="s">
        <v>379</v>
      </c>
      <c r="J152" t="s">
        <v>387</v>
      </c>
    </row>
    <row r="153" spans="1:10" x14ac:dyDescent="0.3">
      <c r="A153" t="s">
        <v>330</v>
      </c>
      <c r="B153" t="s">
        <v>344</v>
      </c>
      <c r="C153" t="s">
        <v>347</v>
      </c>
      <c r="D153" t="s">
        <v>189</v>
      </c>
      <c r="E153" s="14">
        <v>2026</v>
      </c>
      <c r="F153" s="19" t="s">
        <v>360</v>
      </c>
      <c r="G153" t="str">
        <f t="shared" si="4"/>
        <v>No</v>
      </c>
      <c r="H153" t="s">
        <v>4</v>
      </c>
      <c r="I153" t="s">
        <v>379</v>
      </c>
      <c r="J153" t="s">
        <v>387</v>
      </c>
    </row>
    <row r="154" spans="1:10" x14ac:dyDescent="0.3">
      <c r="A154" t="s">
        <v>331</v>
      </c>
      <c r="B154" t="s">
        <v>344</v>
      </c>
      <c r="C154" t="s">
        <v>348</v>
      </c>
      <c r="D154" t="s">
        <v>189</v>
      </c>
      <c r="E154" s="14">
        <v>2025</v>
      </c>
      <c r="F154" s="19" t="s">
        <v>362</v>
      </c>
      <c r="G154" t="str">
        <f t="shared" si="4"/>
        <v>No</v>
      </c>
      <c r="H154" t="s">
        <v>373</v>
      </c>
      <c r="I154" t="s">
        <v>380</v>
      </c>
      <c r="J154" t="s">
        <v>388</v>
      </c>
    </row>
    <row r="155" spans="1:10" x14ac:dyDescent="0.3">
      <c r="A155" t="s">
        <v>332</v>
      </c>
      <c r="B155" t="s">
        <v>344</v>
      </c>
      <c r="C155" t="s">
        <v>414</v>
      </c>
      <c r="D155" t="s">
        <v>189</v>
      </c>
      <c r="E155" s="14">
        <v>2026</v>
      </c>
      <c r="F155" s="19" t="s">
        <v>363</v>
      </c>
      <c r="G155" t="str">
        <f t="shared" si="4"/>
        <v>No</v>
      </c>
      <c r="H155" t="s">
        <v>376</v>
      </c>
      <c r="I155" t="s">
        <v>380</v>
      </c>
      <c r="J155" t="s">
        <v>388</v>
      </c>
    </row>
    <row r="156" spans="1:10" x14ac:dyDescent="0.3">
      <c r="A156" t="s">
        <v>333</v>
      </c>
      <c r="B156" t="s">
        <v>344</v>
      </c>
      <c r="C156" t="s">
        <v>350</v>
      </c>
      <c r="D156" t="s">
        <v>189</v>
      </c>
      <c r="E156" s="14">
        <v>2026</v>
      </c>
      <c r="F156" s="19" t="s">
        <v>364</v>
      </c>
      <c r="G156" t="str">
        <f t="shared" si="4"/>
        <v>No</v>
      </c>
      <c r="H156" t="s">
        <v>375</v>
      </c>
      <c r="I156" t="s">
        <v>380</v>
      </c>
      <c r="J156" t="s">
        <v>388</v>
      </c>
    </row>
    <row r="157" spans="1:10" x14ac:dyDescent="0.3">
      <c r="A157" t="s">
        <v>334</v>
      </c>
      <c r="B157" t="s">
        <v>344</v>
      </c>
      <c r="C157" t="s">
        <v>351</v>
      </c>
      <c r="D157" t="s">
        <v>189</v>
      </c>
      <c r="E157" s="14">
        <v>2026</v>
      </c>
      <c r="F157" s="19" t="s">
        <v>365</v>
      </c>
      <c r="G157" t="str">
        <f t="shared" si="4"/>
        <v>No</v>
      </c>
      <c r="H157" t="s">
        <v>374</v>
      </c>
      <c r="I157" t="s">
        <v>381</v>
      </c>
      <c r="J157" t="s">
        <v>389</v>
      </c>
    </row>
    <row r="158" spans="1:10" x14ac:dyDescent="0.3">
      <c r="A158" t="s">
        <v>335</v>
      </c>
      <c r="B158" t="s">
        <v>344</v>
      </c>
      <c r="C158" t="s">
        <v>347</v>
      </c>
      <c r="D158" t="s">
        <v>189</v>
      </c>
      <c r="E158" s="14">
        <v>2026</v>
      </c>
      <c r="F158" s="19" t="s">
        <v>360</v>
      </c>
      <c r="G158" t="str">
        <f t="shared" si="4"/>
        <v>No</v>
      </c>
      <c r="H158" t="s">
        <v>4</v>
      </c>
      <c r="I158" t="s">
        <v>381</v>
      </c>
      <c r="J158" t="s">
        <v>389</v>
      </c>
    </row>
    <row r="159" spans="1:10" x14ac:dyDescent="0.3">
      <c r="A159" t="s">
        <v>336</v>
      </c>
      <c r="B159" t="s">
        <v>344</v>
      </c>
      <c r="C159" t="s">
        <v>351</v>
      </c>
      <c r="D159" t="s">
        <v>189</v>
      </c>
      <c r="E159" s="14">
        <v>2026</v>
      </c>
      <c r="F159" s="19" t="s">
        <v>366</v>
      </c>
      <c r="G159" t="str">
        <f t="shared" si="4"/>
        <v>No</v>
      </c>
      <c r="H159" t="s">
        <v>374</v>
      </c>
      <c r="I159" t="s">
        <v>382</v>
      </c>
      <c r="J159" t="s">
        <v>389</v>
      </c>
    </row>
    <row r="160" spans="1:10" x14ac:dyDescent="0.3">
      <c r="A160" t="s">
        <v>337</v>
      </c>
      <c r="B160" t="s">
        <v>344</v>
      </c>
      <c r="C160" t="s">
        <v>347</v>
      </c>
      <c r="D160" t="s">
        <v>189</v>
      </c>
      <c r="E160" s="14">
        <v>2026</v>
      </c>
      <c r="F160" s="19" t="s">
        <v>367</v>
      </c>
      <c r="G160" t="str">
        <f t="shared" si="4"/>
        <v>No</v>
      </c>
      <c r="H160" t="s">
        <v>4</v>
      </c>
      <c r="I160" t="s">
        <v>382</v>
      </c>
      <c r="J160" t="s">
        <v>389</v>
      </c>
    </row>
    <row r="161" spans="1:10" x14ac:dyDescent="0.3">
      <c r="A161" t="s">
        <v>338</v>
      </c>
      <c r="B161" t="s">
        <v>344</v>
      </c>
      <c r="C161" t="s">
        <v>352</v>
      </c>
      <c r="D161" t="s">
        <v>356</v>
      </c>
      <c r="E161" s="14">
        <v>2026</v>
      </c>
      <c r="F161" s="19" t="s">
        <v>368</v>
      </c>
      <c r="G161" t="str">
        <f t="shared" ref="G161:G166" si="5">IF(ISNUMBER(F161),"Yes","No")</f>
        <v>No</v>
      </c>
      <c r="H161" t="s">
        <v>352</v>
      </c>
      <c r="I161" t="s">
        <v>383</v>
      </c>
      <c r="J161" t="s">
        <v>389</v>
      </c>
    </row>
    <row r="162" spans="1:10" x14ac:dyDescent="0.3">
      <c r="A162" t="s">
        <v>339</v>
      </c>
      <c r="B162" t="s">
        <v>344</v>
      </c>
      <c r="C162" t="s">
        <v>353</v>
      </c>
      <c r="D162" t="s">
        <v>356</v>
      </c>
      <c r="E162" s="14">
        <v>2026</v>
      </c>
      <c r="F162" s="19">
        <v>5000</v>
      </c>
      <c r="G162" t="str">
        <f t="shared" si="5"/>
        <v>Yes</v>
      </c>
      <c r="H162" t="s">
        <v>199</v>
      </c>
      <c r="I162" t="s">
        <v>383</v>
      </c>
      <c r="J162" t="s">
        <v>389</v>
      </c>
    </row>
    <row r="163" spans="1:10" x14ac:dyDescent="0.3">
      <c r="A163" t="s">
        <v>340</v>
      </c>
      <c r="B163" t="s">
        <v>344</v>
      </c>
      <c r="C163" t="s">
        <v>352</v>
      </c>
      <c r="D163" t="s">
        <v>357</v>
      </c>
      <c r="E163" s="14">
        <v>2026</v>
      </c>
      <c r="F163" s="19" t="s">
        <v>369</v>
      </c>
      <c r="G163" t="str">
        <f t="shared" si="5"/>
        <v>No</v>
      </c>
      <c r="H163" t="s">
        <v>352</v>
      </c>
      <c r="I163" t="s">
        <v>384</v>
      </c>
      <c r="J163" t="s">
        <v>390</v>
      </c>
    </row>
    <row r="164" spans="1:10" x14ac:dyDescent="0.3">
      <c r="A164" t="s">
        <v>341</v>
      </c>
      <c r="B164" t="s">
        <v>344</v>
      </c>
      <c r="C164" t="s">
        <v>353</v>
      </c>
      <c r="D164" t="s">
        <v>357</v>
      </c>
      <c r="E164" s="14">
        <v>2026</v>
      </c>
      <c r="F164" s="19">
        <v>400</v>
      </c>
      <c r="G164" t="str">
        <f t="shared" si="5"/>
        <v>Yes</v>
      </c>
      <c r="H164" t="s">
        <v>199</v>
      </c>
      <c r="I164" t="s">
        <v>384</v>
      </c>
      <c r="J164" t="s">
        <v>390</v>
      </c>
    </row>
    <row r="165" spans="1:10" x14ac:dyDescent="0.3">
      <c r="A165" t="s">
        <v>342</v>
      </c>
      <c r="B165" t="s">
        <v>344</v>
      </c>
      <c r="C165" t="s">
        <v>347</v>
      </c>
      <c r="D165" t="s">
        <v>189</v>
      </c>
      <c r="E165" s="14">
        <v>2026</v>
      </c>
      <c r="F165" s="19" t="s">
        <v>370</v>
      </c>
      <c r="G165" t="str">
        <f t="shared" si="5"/>
        <v>No</v>
      </c>
      <c r="H165" t="s">
        <v>4</v>
      </c>
      <c r="I165" t="s">
        <v>384</v>
      </c>
      <c r="J165" t="s">
        <v>390</v>
      </c>
    </row>
    <row r="166" spans="1:10" x14ac:dyDescent="0.3">
      <c r="A166" t="s">
        <v>343</v>
      </c>
      <c r="B166" t="s">
        <v>344</v>
      </c>
      <c r="C166" t="s">
        <v>354</v>
      </c>
      <c r="D166" t="s">
        <v>62</v>
      </c>
      <c r="E166" s="14">
        <v>2026</v>
      </c>
      <c r="F166" s="19" t="s">
        <v>371</v>
      </c>
      <c r="G166" t="str">
        <f t="shared" si="5"/>
        <v>No</v>
      </c>
      <c r="H166" t="s">
        <v>377</v>
      </c>
      <c r="I166" t="s">
        <v>385</v>
      </c>
      <c r="J166" t="s">
        <v>391</v>
      </c>
    </row>
  </sheetData>
  <sheetProtection algorithmName="SHA-512" hashValue="kJC4yGdFGAXNp5zGWUJTiUcRs6MiDE3fKF55envKSoh+VxkTpsoIMmGoisjeRLvG5UfDlFy7XGri6ykPJnhq9g==" saltValue="IKjieXikvGynf0BfA85bcg==" spinCount="100000" sheet="1" objects="1" scenarios="1" selectLockedCells="1" selectUnlockedCells="1"/>
  <phoneticPr fontId="1" type="noConversion"/>
  <hyperlinks>
    <hyperlink ref="J106" r:id="rId1" xr:uid="{4F75BA1F-3507-4575-A253-BAFF0BEB394D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512F-83A0-4218-B951-C2CA156A1AD2}">
  <dimension ref="A1:J74"/>
  <sheetViews>
    <sheetView topLeftCell="A24" zoomScale="102" workbookViewId="0">
      <selection activeCell="B32" sqref="B32"/>
    </sheetView>
  </sheetViews>
  <sheetFormatPr defaultRowHeight="14.4" x14ac:dyDescent="0.3"/>
  <cols>
    <col min="1" max="1" width="39.6640625" bestFit="1" customWidth="1"/>
    <col min="2" max="2" width="15.5546875" bestFit="1" customWidth="1"/>
    <col min="3" max="3" width="19.21875" style="14" customWidth="1"/>
    <col min="4" max="4" width="19.77734375" style="14" bestFit="1" customWidth="1"/>
    <col min="5" max="5" width="24.44140625" bestFit="1" customWidth="1"/>
    <col min="6" max="6" width="23.77734375" customWidth="1"/>
    <col min="7" max="7" width="16.77734375" bestFit="1" customWidth="1"/>
    <col min="8" max="8" width="16.88671875" customWidth="1"/>
    <col min="9" max="9" width="38.88671875" bestFit="1" customWidth="1"/>
    <col min="10" max="10" width="24.33203125" customWidth="1"/>
  </cols>
  <sheetData>
    <row r="1" spans="1:10" x14ac:dyDescent="0.3">
      <c r="A1" t="s">
        <v>3</v>
      </c>
      <c r="B1" t="s">
        <v>6</v>
      </c>
      <c r="C1" s="14" t="s">
        <v>426</v>
      </c>
      <c r="D1" s="14" t="s">
        <v>427</v>
      </c>
      <c r="E1" t="s">
        <v>428</v>
      </c>
      <c r="F1" t="s">
        <v>429</v>
      </c>
      <c r="G1" t="s">
        <v>420</v>
      </c>
      <c r="H1" t="s">
        <v>421</v>
      </c>
      <c r="I1" t="s">
        <v>440</v>
      </c>
      <c r="J1" t="s">
        <v>422</v>
      </c>
    </row>
    <row r="2" spans="1:10" x14ac:dyDescent="0.3">
      <c r="A2" t="s">
        <v>62</v>
      </c>
      <c r="B2" t="s">
        <v>423</v>
      </c>
      <c r="C2" s="16">
        <f>AVERAGEIFS('Clean Data'!$F:$F, 'Clean Data'!$B:$B, "Pricing", 'Clean Data'!$C:$C, B2&amp;" rent", 'Clean Data'!$D:$D, A2, 'Clean Data'!$E:$E, 2025)</f>
        <v>1800000</v>
      </c>
      <c r="D2" s="16">
        <f>AVERAGEIFS('Clean Data'!$F:$F, 'Clean Data'!$B:$B, "Pricing", 'Clean Data'!$C:$C, B2&amp;" rent", 'Clean Data'!$D:$D, A2, 'Clean Data'!$E:$E, 2026)</f>
        <v>2500000</v>
      </c>
      <c r="E2" s="16">
        <f>AVERAGEIFS('Clean Data'!$F:$F, 'Clean Data'!$B:$B, "Pricing", 'Clean Data'!$C:$C, B2&amp;" flat sale price", 'Clean Data'!$D:$D, A2, 'Clean Data'!$E:$E, 2025)</f>
        <v>50000000</v>
      </c>
      <c r="F2" s="16">
        <f>AVERAGEIFS('Clean Data'!$F:$F, 'Clean Data'!$B:$B, "Pricing", 'Clean Data'!$C:$C, B2&amp;" flat sale price", 'Clean Data'!$D:$D, A2, 'Clean Data'!$E:$E, 2026)</f>
        <v>58000000</v>
      </c>
      <c r="G2" s="12">
        <f>IFERROR((D2-C2)/C2, "")</f>
        <v>0.3888888888888889</v>
      </c>
      <c r="H2" s="12">
        <f>IFERROR((F2-E2)/E2, "")</f>
        <v>0.16</v>
      </c>
      <c r="I2" s="12">
        <f>IFERROR(D2/F2, "")</f>
        <v>4.3103448275862072E-2</v>
      </c>
      <c r="J2" s="13">
        <f>IFERROR(F2/D2, "")</f>
        <v>23.2</v>
      </c>
    </row>
    <row r="3" spans="1:10" x14ac:dyDescent="0.3">
      <c r="A3" t="s">
        <v>62</v>
      </c>
      <c r="B3" t="s">
        <v>424</v>
      </c>
      <c r="C3" s="16">
        <f>AVERAGEIFS('Clean Data'!$F:$F, 'Clean Data'!$B:$B, "Pricing", 'Clean Data'!$C:$C, B3&amp;" rent", 'Clean Data'!$D:$D, A3, 'Clean Data'!$E:$E, 2025)</f>
        <v>3000000</v>
      </c>
      <c r="D3" s="16">
        <f>AVERAGEIFS('Clean Data'!$F:$F, 'Clean Data'!$B:$B, "Pricing", 'Clean Data'!$C:$C, B3&amp;" rent", 'Clean Data'!$D:$D, A3, 'Clean Data'!$E:$E, 2026)</f>
        <v>4500000</v>
      </c>
      <c r="E3" s="16">
        <f>AVERAGEIFS('Clean Data'!$F:$F, 'Clean Data'!$B:$B, "Pricing", 'Clean Data'!$C:$C, B3&amp;" flat sale price", 'Clean Data'!$D:$D, A3, 'Clean Data'!$E:$E, 2025)</f>
        <v>85000000</v>
      </c>
      <c r="F3" s="16">
        <f>AVERAGEIFS('Clean Data'!$F:$F, 'Clean Data'!$B:$B, "Pricing", 'Clean Data'!$C:$C, B3&amp;" flat sale price", 'Clean Data'!$D:$D, A3, 'Clean Data'!$E:$E, 2026)</f>
        <v>140000000</v>
      </c>
      <c r="G3" s="12">
        <f t="shared" ref="G3:G22" si="0">IFERROR((D3-C3)/C3, "")</f>
        <v>0.5</v>
      </c>
      <c r="H3" s="12">
        <f t="shared" ref="H3:H22" si="1">IFERROR((F3-E3)/E3, "")</f>
        <v>0.6470588235294118</v>
      </c>
      <c r="I3" s="12">
        <f t="shared" ref="I3:I22" si="2">IFERROR(D3/F3, "")</f>
        <v>3.214285714285714E-2</v>
      </c>
      <c r="J3" s="13">
        <f t="shared" ref="J3:J22" si="3">IFERROR(F3/D3, "")</f>
        <v>31.111111111111111</v>
      </c>
    </row>
    <row r="4" spans="1:10" x14ac:dyDescent="0.3">
      <c r="A4" t="s">
        <v>62</v>
      </c>
      <c r="B4" t="s">
        <v>425</v>
      </c>
      <c r="C4" s="16">
        <f>AVERAGEIFS('Clean Data'!$F:$F, 'Clean Data'!$B:$B, "Pricing", 'Clean Data'!$C:$C, B4&amp;" rent", 'Clean Data'!$D:$D, A4, 'Clean Data'!$E:$E, 2025)</f>
        <v>4700000</v>
      </c>
      <c r="D4" s="16">
        <f>AVERAGEIFS('Clean Data'!$F:$F, 'Clean Data'!$B:$B, "Pricing", 'Clean Data'!$C:$C, B4&amp;" rent", 'Clean Data'!$D:$D, A4, 'Clean Data'!$E:$E, 2026)</f>
        <v>6000000</v>
      </c>
      <c r="E4" s="16">
        <f>AVERAGEIFS('Clean Data'!$F:$F, 'Clean Data'!$B:$B, "Pricing", 'Clean Data'!$C:$C, B4&amp;" flat sale price", 'Clean Data'!$D:$D, A4, 'Clean Data'!$E:$E, 2025)</f>
        <v>150000000</v>
      </c>
      <c r="F4" s="16">
        <f>AVERAGEIFS('Clean Data'!$F:$F, 'Clean Data'!$B:$B, "Pricing", 'Clean Data'!$C:$C, B4&amp;" flat sale price", 'Clean Data'!$D:$D, A4, 'Clean Data'!$E:$E, 2026)</f>
        <v>170000000</v>
      </c>
      <c r="G4" s="12">
        <f t="shared" si="0"/>
        <v>0.27659574468085107</v>
      </c>
      <c r="H4" s="12">
        <f t="shared" si="1"/>
        <v>0.13333333333333333</v>
      </c>
      <c r="I4" s="12">
        <f t="shared" si="2"/>
        <v>3.5294117647058823E-2</v>
      </c>
      <c r="J4" s="13">
        <f t="shared" si="3"/>
        <v>28.333333333333332</v>
      </c>
    </row>
    <row r="5" spans="1:10" x14ac:dyDescent="0.3">
      <c r="A5" t="s">
        <v>64</v>
      </c>
      <c r="B5" t="s">
        <v>423</v>
      </c>
      <c r="C5" s="16">
        <f>AVERAGEIFS('Clean Data'!$F:$F, 'Clean Data'!$B:$B, "Pricing", 'Clean Data'!$C:$C, B5&amp;" rent", 'Clean Data'!$D:$D, A5, 'Clean Data'!$E:$E, 2025)</f>
        <v>1700000</v>
      </c>
      <c r="D5" s="16">
        <f>AVERAGEIFS('Clean Data'!$F:$F, 'Clean Data'!$B:$B, "Pricing", 'Clean Data'!$C:$C, B5&amp;" rent", 'Clean Data'!$D:$D, A5, 'Clean Data'!$E:$E, 2026)</f>
        <v>2500000</v>
      </c>
      <c r="E5" s="16">
        <f>AVERAGEIFS('Clean Data'!$F:$F, 'Clean Data'!$B:$B, "Pricing", 'Clean Data'!$C:$C, B5&amp;" flat sale price", 'Clean Data'!$D:$D, A5, 'Clean Data'!$E:$E, 2025)</f>
        <v>78000000</v>
      </c>
      <c r="F5" s="16">
        <f>AVERAGEIFS('Clean Data'!$F:$F, 'Clean Data'!$B:$B, "Pricing", 'Clean Data'!$C:$C, B5&amp;" flat sale price", 'Clean Data'!$D:$D, A5, 'Clean Data'!$E:$E, 2026)</f>
        <v>75000000</v>
      </c>
      <c r="G5" s="12">
        <f t="shared" si="0"/>
        <v>0.47058823529411764</v>
      </c>
      <c r="H5" s="12">
        <f t="shared" si="1"/>
        <v>-3.8461538461538464E-2</v>
      </c>
      <c r="I5" s="12">
        <f t="shared" si="2"/>
        <v>3.3333333333333333E-2</v>
      </c>
      <c r="J5" s="13">
        <f t="shared" si="3"/>
        <v>30</v>
      </c>
    </row>
    <row r="6" spans="1:10" x14ac:dyDescent="0.3">
      <c r="A6" t="s">
        <v>64</v>
      </c>
      <c r="B6" t="s">
        <v>424</v>
      </c>
      <c r="C6" s="16">
        <f>AVERAGEIFS('Clean Data'!$F:$F, 'Clean Data'!$B:$B, "Pricing", 'Clean Data'!$C:$C, B6&amp;" rent", 'Clean Data'!$D:$D, A6, 'Clean Data'!$E:$E, 2025)</f>
        <v>3200000</v>
      </c>
      <c r="D6" s="16">
        <f>AVERAGEIFS('Clean Data'!$F:$F, 'Clean Data'!$B:$B, "Pricing", 'Clean Data'!$C:$C, B6&amp;" rent", 'Clean Data'!$D:$D, A6, 'Clean Data'!$E:$E, 2026)</f>
        <v>4250000</v>
      </c>
      <c r="E6" s="16">
        <f>AVERAGEIFS('Clean Data'!$F:$F, 'Clean Data'!$B:$B, "Pricing", 'Clean Data'!$C:$C, B6&amp;" flat sale price", 'Clean Data'!$D:$D, A6, 'Clean Data'!$E:$E, 2025)</f>
        <v>100000000</v>
      </c>
      <c r="F6" s="16">
        <f>AVERAGEIFS('Clean Data'!$F:$F, 'Clean Data'!$B:$B, "Pricing", 'Clean Data'!$C:$C, B6&amp;" flat sale price", 'Clean Data'!$D:$D, A6, 'Clean Data'!$E:$E, 2026)</f>
        <v>110000000</v>
      </c>
      <c r="G6" s="12">
        <f t="shared" si="0"/>
        <v>0.328125</v>
      </c>
      <c r="H6" s="12">
        <f t="shared" si="1"/>
        <v>0.1</v>
      </c>
      <c r="I6" s="12">
        <f t="shared" si="2"/>
        <v>3.8636363636363635E-2</v>
      </c>
      <c r="J6" s="13">
        <f t="shared" si="3"/>
        <v>25.882352941176471</v>
      </c>
    </row>
    <row r="7" spans="1:10" x14ac:dyDescent="0.3">
      <c r="A7" t="s">
        <v>64</v>
      </c>
      <c r="B7" t="s">
        <v>425</v>
      </c>
      <c r="C7" s="16">
        <f>AVERAGEIFS('Clean Data'!$F:$F, 'Clean Data'!$B:$B, "Pricing", 'Clean Data'!$C:$C, B7&amp;" rent", 'Clean Data'!$D:$D, A7, 'Clean Data'!$E:$E, 2025)</f>
        <v>4000000</v>
      </c>
      <c r="D7" s="16">
        <f>AVERAGEIFS('Clean Data'!$F:$F, 'Clean Data'!$B:$B, "Pricing", 'Clean Data'!$C:$C, B7&amp;" rent", 'Clean Data'!$D:$D, A7, 'Clean Data'!$E:$E, 2026)</f>
        <v>5000000</v>
      </c>
      <c r="E7" s="16">
        <f>AVERAGEIFS('Clean Data'!$F:$F, 'Clean Data'!$B:$B, "Pricing", 'Clean Data'!$C:$C, B7&amp;" flat sale price", 'Clean Data'!$D:$D, A7, 'Clean Data'!$E:$E, 2025)</f>
        <v>120000000</v>
      </c>
      <c r="F7" s="16">
        <f>AVERAGEIFS('Clean Data'!$F:$F, 'Clean Data'!$B:$B, "Pricing", 'Clean Data'!$C:$C, B7&amp;" flat sale price", 'Clean Data'!$D:$D, A7, 'Clean Data'!$E:$E, 2026)</f>
        <v>280000000</v>
      </c>
      <c r="G7" s="12">
        <f t="shared" si="0"/>
        <v>0.25</v>
      </c>
      <c r="H7" s="12">
        <f t="shared" si="1"/>
        <v>1.3333333333333333</v>
      </c>
      <c r="I7" s="12">
        <f t="shared" si="2"/>
        <v>1.7857142857142856E-2</v>
      </c>
      <c r="J7" s="13">
        <f t="shared" si="3"/>
        <v>56</v>
      </c>
    </row>
    <row r="8" spans="1:10" x14ac:dyDescent="0.3">
      <c r="A8" t="s">
        <v>65</v>
      </c>
      <c r="B8" t="s">
        <v>423</v>
      </c>
      <c r="C8" s="16">
        <f>AVERAGEIFS('Clean Data'!$F:$F, 'Clean Data'!$B:$B, "Pricing", 'Clean Data'!$C:$C, B8&amp;" rent", 'Clean Data'!$D:$D, A8, 'Clean Data'!$E:$E, 2025)</f>
        <v>2000000</v>
      </c>
      <c r="D8" s="16">
        <f>AVERAGEIFS('Clean Data'!$F:$F, 'Clean Data'!$B:$B, "Pricing", 'Clean Data'!$C:$C, B8&amp;" rent", 'Clean Data'!$D:$D, A8, 'Clean Data'!$E:$E, 2026)</f>
        <v>2500000</v>
      </c>
      <c r="E8" s="16">
        <f>AVERAGEIFS('Clean Data'!$F:$F, 'Clean Data'!$B:$B, "Pricing", 'Clean Data'!$C:$C, B8&amp;" flat sale price", 'Clean Data'!$D:$D, A8, 'Clean Data'!$E:$E, 2025)</f>
        <v>15500000</v>
      </c>
      <c r="F8" s="16">
        <f>AVERAGEIFS('Clean Data'!$F:$F, 'Clean Data'!$B:$B, "Pricing", 'Clean Data'!$C:$C, B8&amp;" flat sale price", 'Clean Data'!$D:$D, A8, 'Clean Data'!$E:$E, 2026)</f>
        <v>21000000</v>
      </c>
      <c r="G8" s="12">
        <f t="shared" si="0"/>
        <v>0.25</v>
      </c>
      <c r="H8" s="12">
        <f t="shared" si="1"/>
        <v>0.35483870967741937</v>
      </c>
      <c r="I8" s="12">
        <f t="shared" si="2"/>
        <v>0.11904761904761904</v>
      </c>
      <c r="J8" s="13">
        <f t="shared" si="3"/>
        <v>8.4</v>
      </c>
    </row>
    <row r="9" spans="1:10" x14ac:dyDescent="0.3">
      <c r="A9" t="s">
        <v>65</v>
      </c>
      <c r="B9" t="s">
        <v>424</v>
      </c>
      <c r="C9" s="16">
        <f>AVERAGEIFS('Clean Data'!$F:$F, 'Clean Data'!$B:$B, "Pricing", 'Clean Data'!$C:$C, B9&amp;" rent", 'Clean Data'!$D:$D, A9, 'Clean Data'!$E:$E, 2025)</f>
        <v>3300000</v>
      </c>
      <c r="D9" s="16">
        <f>AVERAGEIFS('Clean Data'!$F:$F, 'Clean Data'!$B:$B, "Pricing", 'Clean Data'!$C:$C, B9&amp;" rent", 'Clean Data'!$D:$D, A9, 'Clean Data'!$E:$E, 2026)</f>
        <v>4350000</v>
      </c>
      <c r="E9" s="16">
        <f>AVERAGEIFS('Clean Data'!$F:$F, 'Clean Data'!$B:$B, "Pricing", 'Clean Data'!$C:$C, B9&amp;" flat sale price", 'Clean Data'!$D:$D, A9, 'Clean Data'!$E:$E, 2025)</f>
        <v>55000000</v>
      </c>
      <c r="F9" s="16">
        <f>AVERAGEIFS('Clean Data'!$F:$F, 'Clean Data'!$B:$B, "Pricing", 'Clean Data'!$C:$C, B9&amp;" flat sale price", 'Clean Data'!$D:$D, A9, 'Clean Data'!$E:$E, 2026)</f>
        <v>85000000</v>
      </c>
      <c r="G9" s="12">
        <f t="shared" si="0"/>
        <v>0.31818181818181818</v>
      </c>
      <c r="H9" s="12">
        <f t="shared" si="1"/>
        <v>0.54545454545454541</v>
      </c>
      <c r="I9" s="12">
        <f t="shared" si="2"/>
        <v>5.1176470588235295E-2</v>
      </c>
      <c r="J9" s="13">
        <f t="shared" si="3"/>
        <v>19.540229885057471</v>
      </c>
    </row>
    <row r="10" spans="1:10" x14ac:dyDescent="0.3">
      <c r="A10" t="s">
        <v>65</v>
      </c>
      <c r="B10" t="s">
        <v>425</v>
      </c>
      <c r="C10" s="16">
        <f>AVERAGEIFS('Clean Data'!$F:$F, 'Clean Data'!$B:$B, "Pricing", 'Clean Data'!$C:$C, B10&amp;" rent", 'Clean Data'!$D:$D, A10, 'Clean Data'!$E:$E, 2025)</f>
        <v>4500000</v>
      </c>
      <c r="D10" s="16">
        <f>AVERAGEIFS('Clean Data'!$F:$F, 'Clean Data'!$B:$B, "Pricing", 'Clean Data'!$C:$C, B10&amp;" rent", 'Clean Data'!$D:$D, A10, 'Clean Data'!$E:$E, 2026)</f>
        <v>7000000</v>
      </c>
      <c r="E10" s="16">
        <f>AVERAGEIFS('Clean Data'!$F:$F, 'Clean Data'!$B:$B, "Pricing", 'Clean Data'!$C:$C, B10&amp;" flat sale price", 'Clean Data'!$D:$D, A10, 'Clean Data'!$E:$E, 2025)</f>
        <v>150000000</v>
      </c>
      <c r="F10" s="16">
        <f>AVERAGEIFS('Clean Data'!$F:$F, 'Clean Data'!$B:$B, "Pricing", 'Clean Data'!$C:$C, B10&amp;" flat sale price", 'Clean Data'!$D:$D, A10, 'Clean Data'!$E:$E, 2026)</f>
        <v>160000000</v>
      </c>
      <c r="G10" s="12">
        <f t="shared" si="0"/>
        <v>0.55555555555555558</v>
      </c>
      <c r="H10" s="12">
        <f t="shared" si="1"/>
        <v>6.6666666666666666E-2</v>
      </c>
      <c r="I10" s="12">
        <f t="shared" si="2"/>
        <v>4.3749999999999997E-2</v>
      </c>
      <c r="J10" s="13">
        <f t="shared" si="3"/>
        <v>22.857142857142858</v>
      </c>
    </row>
    <row r="11" spans="1:10" x14ac:dyDescent="0.3">
      <c r="A11" t="s">
        <v>66</v>
      </c>
      <c r="B11" t="s">
        <v>423</v>
      </c>
      <c r="C11" s="16">
        <f>AVERAGEIFS('Clean Data'!$F:$F, 'Clean Data'!$B:$B, "Pricing", 'Clean Data'!$C:$C, B11&amp;" rent", 'Clean Data'!$D:$D, A11, 'Clean Data'!$E:$E, 2025)</f>
        <v>1800000</v>
      </c>
      <c r="D11" s="16">
        <f>AVERAGEIFS('Clean Data'!$F:$F, 'Clean Data'!$B:$B, "Pricing", 'Clean Data'!$C:$C, B11&amp;" rent", 'Clean Data'!$D:$D, A11, 'Clean Data'!$E:$E, 2026)</f>
        <v>2300000</v>
      </c>
      <c r="E11" s="16">
        <f>AVERAGEIFS('Clean Data'!$F:$F, 'Clean Data'!$B:$B, "Pricing", 'Clean Data'!$C:$C, B11&amp;" flat sale price", 'Clean Data'!$D:$D, A11, 'Clean Data'!$E:$E, 2025)</f>
        <v>50000000</v>
      </c>
      <c r="F11" s="16">
        <f>AVERAGEIFS('Clean Data'!$F:$F, 'Clean Data'!$B:$B, "Pricing", 'Clean Data'!$C:$C, B11&amp;" flat sale price", 'Clean Data'!$D:$D, A11, 'Clean Data'!$E:$E, 2026)</f>
        <v>95000000</v>
      </c>
      <c r="G11" s="12">
        <f t="shared" si="0"/>
        <v>0.27777777777777779</v>
      </c>
      <c r="H11" s="12">
        <f t="shared" si="1"/>
        <v>0.9</v>
      </c>
      <c r="I11" s="12">
        <f>IFERROR(D11/F11, "")</f>
        <v>2.4210526315789474E-2</v>
      </c>
      <c r="J11" s="13">
        <f t="shared" si="3"/>
        <v>41.304347826086953</v>
      </c>
    </row>
    <row r="12" spans="1:10" x14ac:dyDescent="0.3">
      <c r="A12" t="s">
        <v>66</v>
      </c>
      <c r="B12" t="s">
        <v>424</v>
      </c>
      <c r="C12" s="16">
        <f>AVERAGEIFS('Clean Data'!$F:$F, 'Clean Data'!$B:$B, "Pricing", 'Clean Data'!$C:$C, B12&amp;" rent", 'Clean Data'!$D:$D, A12, 'Clean Data'!$E:$E, 2025)</f>
        <v>3000000</v>
      </c>
      <c r="D12" s="16">
        <f>AVERAGEIFS('Clean Data'!$F:$F, 'Clean Data'!$B:$B, "Pricing", 'Clean Data'!$C:$C, B12&amp;" rent", 'Clean Data'!$D:$D, A12, 'Clean Data'!$E:$E, 2026)</f>
        <v>4000000</v>
      </c>
      <c r="E12" s="16">
        <f>AVERAGEIFS('Clean Data'!$F:$F, 'Clean Data'!$B:$B, "Pricing", 'Clean Data'!$C:$C, B12&amp;" flat sale price", 'Clean Data'!$D:$D, A12, 'Clean Data'!$E:$E, 2025)</f>
        <v>140000000</v>
      </c>
      <c r="F12" s="16">
        <f>AVERAGEIFS('Clean Data'!$F:$F, 'Clean Data'!$B:$B, "Pricing", 'Clean Data'!$C:$C, B12&amp;" flat sale price", 'Clean Data'!$D:$D, A12, 'Clean Data'!$E:$E, 2026)</f>
        <v>165000000</v>
      </c>
      <c r="G12" s="12">
        <f t="shared" si="0"/>
        <v>0.33333333333333331</v>
      </c>
      <c r="H12" s="12">
        <f t="shared" si="1"/>
        <v>0.17857142857142858</v>
      </c>
      <c r="I12" s="12">
        <f t="shared" si="2"/>
        <v>2.4242424242424242E-2</v>
      </c>
      <c r="J12" s="13">
        <f t="shared" si="3"/>
        <v>41.25</v>
      </c>
    </row>
    <row r="13" spans="1:10" x14ac:dyDescent="0.3">
      <c r="A13" t="s">
        <v>66</v>
      </c>
      <c r="B13" t="s">
        <v>425</v>
      </c>
      <c r="C13" s="16">
        <f>AVERAGEIFS('Clean Data'!$F:$F, 'Clean Data'!$B:$B, "Pricing", 'Clean Data'!$C:$C, B13&amp;" rent", 'Clean Data'!$D:$D, A13, 'Clean Data'!$E:$E, 2025)</f>
        <v>6000000</v>
      </c>
      <c r="D13" s="16">
        <f>AVERAGEIFS('Clean Data'!$F:$F, 'Clean Data'!$B:$B, "Pricing", 'Clean Data'!$C:$C, B13&amp;" rent", 'Clean Data'!$D:$D, A13, 'Clean Data'!$E:$E, 2026)</f>
        <v>8500000</v>
      </c>
      <c r="E13" s="16">
        <f>AVERAGEIFS('Clean Data'!$F:$F, 'Clean Data'!$B:$B, "Pricing", 'Clean Data'!$C:$C, B13&amp;" flat sale price", 'Clean Data'!$D:$D, A13, 'Clean Data'!$E:$E, 2025)</f>
        <v>199000000</v>
      </c>
      <c r="F13" s="16">
        <f>AVERAGEIFS('Clean Data'!$F:$F, 'Clean Data'!$B:$B, "Pricing", 'Clean Data'!$C:$C, B13&amp;" flat sale price", 'Clean Data'!$D:$D, A13, 'Clean Data'!$E:$E, 2026)</f>
        <v>300000000</v>
      </c>
      <c r="G13" s="12">
        <f t="shared" si="0"/>
        <v>0.41666666666666669</v>
      </c>
      <c r="H13" s="12">
        <f t="shared" si="1"/>
        <v>0.50753768844221103</v>
      </c>
      <c r="I13" s="12">
        <f t="shared" si="2"/>
        <v>2.8333333333333332E-2</v>
      </c>
      <c r="J13" s="13">
        <f t="shared" si="3"/>
        <v>35.294117647058826</v>
      </c>
    </row>
    <row r="14" spans="1:10" x14ac:dyDescent="0.3">
      <c r="A14" t="s">
        <v>88</v>
      </c>
      <c r="B14" t="s">
        <v>423</v>
      </c>
      <c r="C14" s="16">
        <f>AVERAGEIFS('Clean Data'!$F:$F, 'Clean Data'!$B:$B, "Pricing", 'Clean Data'!$C:$C, B14&amp;" rent", 'Clean Data'!$D:$D, A14, 'Clean Data'!$E:$E, 2025)</f>
        <v>3500000</v>
      </c>
      <c r="D14" s="16">
        <f>AVERAGEIFS('Clean Data'!$F:$F, 'Clean Data'!$B:$B, "Pricing", 'Clean Data'!$C:$C, B14&amp;" rent", 'Clean Data'!$D:$D, A14, 'Clean Data'!$E:$E, 2026)</f>
        <v>4500000</v>
      </c>
      <c r="E14" s="16">
        <f>AVERAGEIFS('Clean Data'!$F:$F, 'Clean Data'!$B:$B, "Pricing", 'Clean Data'!$C:$C, B14&amp;" flat sale price", 'Clean Data'!$D:$D, A14, 'Clean Data'!$E:$E, 2025)</f>
        <v>78000000</v>
      </c>
      <c r="F14" s="16">
        <f>AVERAGEIFS('Clean Data'!$F:$F, 'Clean Data'!$B:$B, "Pricing", 'Clean Data'!$C:$C, B14&amp;" flat sale price", 'Clean Data'!$D:$D, A14, 'Clean Data'!$E:$E, 2026)</f>
        <v>130000000</v>
      </c>
      <c r="G14" s="12">
        <f t="shared" si="0"/>
        <v>0.2857142857142857</v>
      </c>
      <c r="H14" s="12">
        <f t="shared" si="1"/>
        <v>0.66666666666666663</v>
      </c>
      <c r="I14" s="12">
        <f t="shared" si="2"/>
        <v>3.4615384615384617E-2</v>
      </c>
      <c r="J14" s="13">
        <f t="shared" si="3"/>
        <v>28.888888888888889</v>
      </c>
    </row>
    <row r="15" spans="1:10" x14ac:dyDescent="0.3">
      <c r="A15" t="s">
        <v>88</v>
      </c>
      <c r="B15" t="s">
        <v>424</v>
      </c>
      <c r="C15" s="16">
        <f>AVERAGEIFS('Clean Data'!$F:$F, 'Clean Data'!$B:$B, "Pricing", 'Clean Data'!$C:$C, B15&amp;" rent", 'Clean Data'!$D:$D, A15, 'Clean Data'!$E:$E, 2025)</f>
        <v>8000000</v>
      </c>
      <c r="D15" s="16">
        <f>AVERAGEIFS('Clean Data'!$F:$F, 'Clean Data'!$B:$B, "Pricing", 'Clean Data'!$C:$C, B15&amp;" rent", 'Clean Data'!$D:$D, A15, 'Clean Data'!$E:$E, 2026)</f>
        <v>10000000</v>
      </c>
      <c r="E15" s="16">
        <f>AVERAGEIFS('Clean Data'!$F:$F, 'Clean Data'!$B:$B, "Pricing", 'Clean Data'!$C:$C, B15&amp;" flat sale price", 'Clean Data'!$D:$D, A15, 'Clean Data'!$E:$E, 2025)</f>
        <v>150000000</v>
      </c>
      <c r="F15" s="16">
        <f>AVERAGEIFS('Clean Data'!$F:$F, 'Clean Data'!$B:$B, "Pricing", 'Clean Data'!$C:$C, B15&amp;" flat sale price", 'Clean Data'!$D:$D, A15, 'Clean Data'!$E:$E, 2026)</f>
        <v>200000000</v>
      </c>
      <c r="G15" s="12">
        <f t="shared" si="0"/>
        <v>0.25</v>
      </c>
      <c r="H15" s="12">
        <f t="shared" si="1"/>
        <v>0.33333333333333331</v>
      </c>
      <c r="I15" s="12">
        <f t="shared" si="2"/>
        <v>0.05</v>
      </c>
      <c r="J15" s="13">
        <f t="shared" si="3"/>
        <v>20</v>
      </c>
    </row>
    <row r="16" spans="1:10" x14ac:dyDescent="0.3">
      <c r="A16" t="s">
        <v>88</v>
      </c>
      <c r="B16" t="s">
        <v>425</v>
      </c>
      <c r="C16" s="16">
        <f>AVERAGEIFS('Clean Data'!$F:$F, 'Clean Data'!$B:$B, "Pricing", 'Clean Data'!$C:$C, B16&amp;" rent", 'Clean Data'!$D:$D, A16, 'Clean Data'!$E:$E, 2025)</f>
        <v>9300000</v>
      </c>
      <c r="D16" s="16">
        <f>AVERAGEIFS('Clean Data'!$F:$F, 'Clean Data'!$B:$B, "Pricing", 'Clean Data'!$C:$C, B16&amp;" rent", 'Clean Data'!$D:$D, A16, 'Clean Data'!$E:$E, 2026)</f>
        <v>15000000</v>
      </c>
      <c r="E16" s="16">
        <f>AVERAGEIFS('Clean Data'!$F:$F, 'Clean Data'!$B:$B, "Pricing", 'Clean Data'!$C:$C, B16&amp;" flat sale price", 'Clean Data'!$D:$D, A16, 'Clean Data'!$E:$E, 2025)</f>
        <v>130000000</v>
      </c>
      <c r="F16" s="16">
        <f>AVERAGEIFS('Clean Data'!$F:$F, 'Clean Data'!$B:$B, "Pricing", 'Clean Data'!$C:$C, B16&amp;" flat sale price", 'Clean Data'!$D:$D, A16, 'Clean Data'!$E:$E, 2026)</f>
        <v>185000000</v>
      </c>
      <c r="G16" s="12">
        <f t="shared" si="0"/>
        <v>0.61290322580645162</v>
      </c>
      <c r="H16" s="12">
        <f t="shared" si="1"/>
        <v>0.42307692307692307</v>
      </c>
      <c r="I16" s="12">
        <f t="shared" si="2"/>
        <v>8.1081081081081086E-2</v>
      </c>
      <c r="J16" s="13">
        <f t="shared" si="3"/>
        <v>12.333333333333334</v>
      </c>
    </row>
    <row r="17" spans="1:10" x14ac:dyDescent="0.3">
      <c r="A17" t="s">
        <v>92</v>
      </c>
      <c r="B17" t="s">
        <v>423</v>
      </c>
      <c r="C17" s="16">
        <f>AVERAGEIFS('Clean Data'!$F:$F, 'Clean Data'!$B:$B, "Pricing", 'Clean Data'!$C:$C, B17&amp;" rent", 'Clean Data'!$D:$D, A17, 'Clean Data'!$E:$E, 2025)</f>
        <v>1500000</v>
      </c>
      <c r="D17" s="16">
        <f>AVERAGEIFS('Clean Data'!$F:$F, 'Clean Data'!$B:$B, "Pricing", 'Clean Data'!$C:$C, B17&amp;" rent", 'Clean Data'!$D:$D, A17, 'Clean Data'!$E:$E, 2026)</f>
        <v>1900000</v>
      </c>
      <c r="E17" s="16">
        <f>AVERAGEIFS('Clean Data'!$F:$F, 'Clean Data'!$B:$B, "Pricing", 'Clean Data'!$C:$C, B17&amp;" flat sale price", 'Clean Data'!$D:$D, A17, 'Clean Data'!$E:$E, 2025)</f>
        <v>45000000</v>
      </c>
      <c r="F17" s="16">
        <f>AVERAGEIFS('Clean Data'!$F:$F, 'Clean Data'!$B:$B, "Pricing", 'Clean Data'!$C:$C, B17&amp;" flat sale price", 'Clean Data'!$D:$D, A17, 'Clean Data'!$E:$E, 2026)</f>
        <v>52000000</v>
      </c>
      <c r="G17" s="12">
        <f t="shared" si="0"/>
        <v>0.26666666666666666</v>
      </c>
      <c r="H17" s="12">
        <f t="shared" si="1"/>
        <v>0.15555555555555556</v>
      </c>
      <c r="I17" s="12">
        <f t="shared" si="2"/>
        <v>3.653846153846154E-2</v>
      </c>
      <c r="J17" s="13">
        <f t="shared" si="3"/>
        <v>27.368421052631579</v>
      </c>
    </row>
    <row r="18" spans="1:10" x14ac:dyDescent="0.3">
      <c r="A18" t="s">
        <v>92</v>
      </c>
      <c r="B18" t="s">
        <v>424</v>
      </c>
      <c r="C18" s="16">
        <f>AVERAGEIFS('Clean Data'!$F:$F, 'Clean Data'!$B:$B, "Pricing", 'Clean Data'!$C:$C, B18&amp;" rent", 'Clean Data'!$D:$D, A18, 'Clean Data'!$E:$E, 2025)</f>
        <v>2500000</v>
      </c>
      <c r="D18" s="16">
        <f>AVERAGEIFS('Clean Data'!$F:$F, 'Clean Data'!$B:$B, "Pricing", 'Clean Data'!$C:$C, B18&amp;" rent", 'Clean Data'!$D:$D, A18, 'Clean Data'!$E:$E, 2026)</f>
        <v>3000000</v>
      </c>
      <c r="E18" s="16">
        <f>AVERAGEIFS('Clean Data'!$F:$F, 'Clean Data'!$B:$B, "Pricing", 'Clean Data'!$C:$C, B18&amp;" flat sale price", 'Clean Data'!$D:$D, A18, 'Clean Data'!$E:$E, 2025)</f>
        <v>60000000</v>
      </c>
      <c r="F18" s="16">
        <f>AVERAGEIFS('Clean Data'!$F:$F, 'Clean Data'!$B:$B, "Pricing", 'Clean Data'!$C:$C, B18&amp;" flat sale price", 'Clean Data'!$D:$D, A18, 'Clean Data'!$E:$E, 2026)</f>
        <v>85000000</v>
      </c>
      <c r="G18" s="12">
        <f t="shared" si="0"/>
        <v>0.2</v>
      </c>
      <c r="H18" s="12">
        <f t="shared" si="1"/>
        <v>0.41666666666666669</v>
      </c>
      <c r="I18" s="12">
        <f t="shared" si="2"/>
        <v>3.5294117647058823E-2</v>
      </c>
      <c r="J18" s="13">
        <f t="shared" si="3"/>
        <v>28.333333333333332</v>
      </c>
    </row>
    <row r="19" spans="1:10" x14ac:dyDescent="0.3">
      <c r="A19" t="s">
        <v>92</v>
      </c>
      <c r="B19" t="s">
        <v>425</v>
      </c>
      <c r="C19" s="16">
        <f>AVERAGEIFS('Clean Data'!$F:$F, 'Clean Data'!$B:$B, "Pricing", 'Clean Data'!$C:$C, B19&amp;" rent", 'Clean Data'!$D:$D, A19, 'Clean Data'!$E:$E, 2025)</f>
        <v>3000000</v>
      </c>
      <c r="D19" s="16">
        <f>AVERAGEIFS('Clean Data'!$F:$F, 'Clean Data'!$B:$B, "Pricing", 'Clean Data'!$C:$C, B19&amp;" rent", 'Clean Data'!$D:$D, A19, 'Clean Data'!$E:$E, 2026)</f>
        <v>4000000</v>
      </c>
      <c r="E19" s="16">
        <f>AVERAGEIFS('Clean Data'!$F:$F, 'Clean Data'!$B:$B, "Pricing", 'Clean Data'!$C:$C, B19&amp;" flat sale price", 'Clean Data'!$D:$D, A19, 'Clean Data'!$E:$E, 2025)</f>
        <v>70000000</v>
      </c>
      <c r="F19" s="16">
        <f>AVERAGEIFS('Clean Data'!$F:$F, 'Clean Data'!$B:$B, "Pricing", 'Clean Data'!$C:$C, B19&amp;" flat sale price", 'Clean Data'!$D:$D, A19, 'Clean Data'!$E:$E, 2026)</f>
        <v>95000000</v>
      </c>
      <c r="G19" s="12">
        <f t="shared" si="0"/>
        <v>0.33333333333333331</v>
      </c>
      <c r="H19" s="12">
        <f t="shared" si="1"/>
        <v>0.35714285714285715</v>
      </c>
      <c r="I19" s="12">
        <f t="shared" si="2"/>
        <v>4.2105263157894736E-2</v>
      </c>
      <c r="J19" s="13">
        <f t="shared" si="3"/>
        <v>23.75</v>
      </c>
    </row>
    <row r="20" spans="1:10" x14ac:dyDescent="0.3">
      <c r="A20" t="s">
        <v>67</v>
      </c>
      <c r="B20" t="s">
        <v>423</v>
      </c>
      <c r="C20" s="16">
        <f>AVERAGEIFS('Clean Data'!$F:$F, 'Clean Data'!$B:$B, "Pricing", 'Clean Data'!$C:$C, B20&amp;" rent", 'Clean Data'!$D:$D, A20, 'Clean Data'!$E:$E, 2025)</f>
        <v>2500000</v>
      </c>
      <c r="D20" s="16">
        <f>AVERAGEIFS('Clean Data'!$F:$F, 'Clean Data'!$B:$B, "Pricing", 'Clean Data'!$C:$C, B20&amp;" rent", 'Clean Data'!$D:$D, A20, 'Clean Data'!$E:$E, 2026)</f>
        <v>3500000</v>
      </c>
      <c r="E20" s="16">
        <f>AVERAGEIFS('Clean Data'!$F:$F, 'Clean Data'!$B:$B, "Pricing", 'Clean Data'!$C:$C, B20&amp;" flat sale price", 'Clean Data'!$D:$D, A20, 'Clean Data'!$E:$E, 2025)</f>
        <v>75000000</v>
      </c>
      <c r="F20" s="16" t="e">
        <f>AVERAGEIFS('Clean Data'!$F:$F, 'Clean Data'!$B:$B, "Pricing", 'Clean Data'!$C:$C, B20&amp;" flat sale price", 'Clean Data'!$D:$D, A20, 'Clean Data'!$E:$E, 2026)</f>
        <v>#DIV/0!</v>
      </c>
      <c r="G20" s="12">
        <f>IFERROR((D20-C20)/C20, "")</f>
        <v>0.4</v>
      </c>
      <c r="H20" s="12" t="str">
        <f>IFERROR((F20-E20)/E20, "")</f>
        <v/>
      </c>
      <c r="I20" s="12" t="str">
        <f t="shared" si="2"/>
        <v/>
      </c>
      <c r="J20" s="13" t="str">
        <f t="shared" si="3"/>
        <v/>
      </c>
    </row>
    <row r="21" spans="1:10" x14ac:dyDescent="0.3">
      <c r="A21" t="s">
        <v>67</v>
      </c>
      <c r="B21" t="s">
        <v>424</v>
      </c>
      <c r="C21" s="16">
        <f>AVERAGEIFS('Clean Data'!$F:$F, 'Clean Data'!$B:$B, "Pricing", 'Clean Data'!$C:$C, B21&amp;" rent", 'Clean Data'!$D:$D, A21, 'Clean Data'!$E:$E, 2025)</f>
        <v>5000000</v>
      </c>
      <c r="D21" s="16">
        <f>AVERAGEIFS('Clean Data'!$F:$F, 'Clean Data'!$B:$B, "Pricing", 'Clean Data'!$C:$C, B21&amp;" rent", 'Clean Data'!$D:$D, A21, 'Clean Data'!$E:$E, 2026)</f>
        <v>6000000</v>
      </c>
      <c r="E21" s="16">
        <f>AVERAGEIFS('Clean Data'!$F:$F, 'Clean Data'!$B:$B, "Pricing", 'Clean Data'!$C:$C, B21&amp;" flat sale price", 'Clean Data'!$D:$D, A21, 'Clean Data'!$E:$E, 2025)</f>
        <v>140000000</v>
      </c>
      <c r="F21" s="16">
        <f>AVERAGEIFS('Clean Data'!$F:$F, 'Clean Data'!$B:$B, "Pricing", 'Clean Data'!$C:$C, B21&amp;" flat sale price", 'Clean Data'!$D:$D, A21, 'Clean Data'!$E:$E, 2026)</f>
        <v>190000000</v>
      </c>
      <c r="G21" s="12">
        <f t="shared" si="0"/>
        <v>0.2</v>
      </c>
      <c r="H21" s="12">
        <f t="shared" si="1"/>
        <v>0.35714285714285715</v>
      </c>
      <c r="I21" s="12">
        <f t="shared" si="2"/>
        <v>3.1578947368421054E-2</v>
      </c>
      <c r="J21" s="13">
        <f t="shared" si="3"/>
        <v>31.666666666666668</v>
      </c>
    </row>
    <row r="22" spans="1:10" x14ac:dyDescent="0.3">
      <c r="A22" t="s">
        <v>67</v>
      </c>
      <c r="B22" t="s">
        <v>425</v>
      </c>
      <c r="C22" s="16">
        <f>AVERAGEIFS('Clean Data'!$F:$F, 'Clean Data'!$B:$B, "Pricing", 'Clean Data'!$C:$C, B22&amp;" rent", 'Clean Data'!$D:$D, A22, 'Clean Data'!$E:$E, 2025)</f>
        <v>7000000</v>
      </c>
      <c r="D22" s="16">
        <f>AVERAGEIFS('Clean Data'!$F:$F, 'Clean Data'!$B:$B, "Pricing", 'Clean Data'!$C:$C, B22&amp;" rent", 'Clean Data'!$D:$D, A22, 'Clean Data'!$E:$E, 2026)</f>
        <v>8000000</v>
      </c>
      <c r="E22" s="16">
        <f>AVERAGEIFS('Clean Data'!$F:$F, 'Clean Data'!$B:$B, "Pricing", 'Clean Data'!$C:$C, B22&amp;" flat sale price", 'Clean Data'!$D:$D, A22, 'Clean Data'!$E:$E, 2025)</f>
        <v>170000000</v>
      </c>
      <c r="F22" s="16">
        <f>AVERAGEIFS('Clean Data'!$F:$F, 'Clean Data'!$B:$B, "Pricing", 'Clean Data'!$C:$C, B22&amp;" flat sale price", 'Clean Data'!$D:$D, A22, 'Clean Data'!$E:$E, 2026)</f>
        <v>260000000</v>
      </c>
      <c r="G22" s="12">
        <f t="shared" si="0"/>
        <v>0.14285714285714285</v>
      </c>
      <c r="H22" s="12">
        <f t="shared" si="1"/>
        <v>0.52941176470588236</v>
      </c>
      <c r="I22" s="12">
        <f t="shared" si="2"/>
        <v>3.0769230769230771E-2</v>
      </c>
      <c r="J22" s="13">
        <f t="shared" si="3"/>
        <v>32.5</v>
      </c>
    </row>
    <row r="25" spans="1:10" x14ac:dyDescent="0.3">
      <c r="A25" t="s">
        <v>430</v>
      </c>
      <c r="B25" t="s">
        <v>254</v>
      </c>
      <c r="D25" s="4" t="s">
        <v>430</v>
      </c>
      <c r="E25" s="5" t="s">
        <v>254</v>
      </c>
    </row>
    <row r="26" spans="1:10" x14ac:dyDescent="0.3">
      <c r="A26" t="s">
        <v>431</v>
      </c>
      <c r="B26" s="15">
        <f>AVERAGE(I2:I22)</f>
        <v>4.165550612987759E-2</v>
      </c>
      <c r="D26" s="6" t="s">
        <v>447</v>
      </c>
      <c r="E26" s="26">
        <f>AVERAGE(I2:I22)</f>
        <v>4.165550612987759E-2</v>
      </c>
    </row>
    <row r="27" spans="1:10" x14ac:dyDescent="0.3">
      <c r="A27" t="s">
        <v>432</v>
      </c>
      <c r="B27" s="15">
        <f>AVERAGE(G2:G22)</f>
        <v>0.3360565559408043</v>
      </c>
      <c r="D27" s="8" t="s">
        <v>448</v>
      </c>
      <c r="E27" s="28">
        <f>AVERAGEIFS('Clean Data'!$F:$F, 'Clean Data'!$B:$B, "Macro", 'Clean Data'!$C:$C, "Inflation rate", 'Clean Data'!$E:$E, 2025)/100</f>
        <v>0.23010000000000003</v>
      </c>
    </row>
    <row r="28" spans="1:10" x14ac:dyDescent="0.3">
      <c r="A28" t="s">
        <v>433</v>
      </c>
      <c r="B28" s="15">
        <f>AVERAGE(H2:H22)</f>
        <v>0.40636648074187776</v>
      </c>
      <c r="D28" s="8" t="s">
        <v>436</v>
      </c>
      <c r="E28" s="27">
        <f>AVERAGEIFS('Clean Data'!$F:$F, 'Clean Data'!$B:$B, "Macro", 'Clean Data'!$C:$C, "MPR (year-end)", 'Clean Data'!$E:$E, 2025) / 100</f>
        <v>0.27</v>
      </c>
    </row>
    <row r="29" spans="1:10" x14ac:dyDescent="0.3">
      <c r="A29" t="s">
        <v>434</v>
      </c>
      <c r="B29" s="11">
        <f>AVERAGEIFS('Clean Data'!$F:$F, 'Clean Data'!$B:$B, "Macro", 'Clean Data'!$C:$C, "Inflation rate", 'Clean Data'!$E:$E, 2025)/100</f>
        <v>0.23010000000000003</v>
      </c>
    </row>
    <row r="30" spans="1:10" x14ac:dyDescent="0.3">
      <c r="A30" t="s">
        <v>435</v>
      </c>
      <c r="B30" s="11">
        <f>AVERAGEIFS('Clean Data'!$F:$F, 'Clean Data'!$B:$B, "Macro", 'Clean Data'!$C:$C, "Real GDP growth", 'Clean Data'!$E:$E, 2025)/100</f>
        <v>3.8699999999999998E-2</v>
      </c>
    </row>
    <row r="31" spans="1:10" x14ac:dyDescent="0.3">
      <c r="A31" t="s">
        <v>436</v>
      </c>
      <c r="B31" s="15">
        <f>AVERAGEIFS('Clean Data'!$F:$F, 'Clean Data'!$B:$B, "Macro", 'Clean Data'!$C:$C, "MPR (year-end)", 'Clean Data'!$E:$E, 2025) / 100</f>
        <v>0.27</v>
      </c>
    </row>
    <row r="32" spans="1:10" x14ac:dyDescent="0.3">
      <c r="A32" t="s">
        <v>441</v>
      </c>
      <c r="B32" s="15">
        <f>B26-B29</f>
        <v>-0.18844449387012244</v>
      </c>
      <c r="C32" s="14" t="s">
        <v>442</v>
      </c>
    </row>
    <row r="33" spans="1:4" x14ac:dyDescent="0.3">
      <c r="A33" t="s">
        <v>443</v>
      </c>
      <c r="B33" s="21">
        <f>AVERAGEIFS('Clean Data'!$F:$F, 'Clean Data'!$B:$B, "Demand", 'Clean Data'!$C:$C, "Housing deficit", 'Clean Data'!$E:$E, 2026) / 1000000</f>
        <v>3.4</v>
      </c>
    </row>
    <row r="36" spans="1:4" x14ac:dyDescent="0.3">
      <c r="A36" t="s">
        <v>3</v>
      </c>
      <c r="B36" t="s">
        <v>437</v>
      </c>
      <c r="C36" s="14" t="s">
        <v>438</v>
      </c>
      <c r="D36" s="14" t="s">
        <v>439</v>
      </c>
    </row>
    <row r="37" spans="1:4" x14ac:dyDescent="0.3">
      <c r="A37" t="s">
        <v>62</v>
      </c>
      <c r="B37" s="18">
        <f>AVERAGEIFS($D$2:$D$22, $A$2:$A$22, "Yaba", $B$2:$B$22, "1-bed")</f>
        <v>2500000</v>
      </c>
      <c r="C37" s="18">
        <f>AVERAGEIFS($D$2:$D$22, $A$2:$A$22, "Yaba", $B$2:$B$22, "2-bed")</f>
        <v>4500000</v>
      </c>
      <c r="D37" s="18">
        <f>AVERAGEIFS($D$2:$D$22, $A$2:$A$22, "Yaba", $B$2:$B$22, "3-bed")</f>
        <v>6000000</v>
      </c>
    </row>
    <row r="38" spans="1:4" x14ac:dyDescent="0.3">
      <c r="A38" t="s">
        <v>64</v>
      </c>
      <c r="B38" s="18">
        <f>AVERAGEIFS($D$2:$D$22, $A$2:$A$22, "Surulere", $B$2:$B$22, "1-bed")</f>
        <v>2500000</v>
      </c>
      <c r="C38" s="18">
        <f>AVERAGEIFS($D$2:$D$22, $A$2:$A$22, "Surulere", $B$2:$B$22, "2-bed")</f>
        <v>4250000</v>
      </c>
      <c r="D38" s="18">
        <f>AVERAGEIFS($D$2:$D$22, $A$2:$A$22, "Surulere", $B$2:$B$22, "3-bed")</f>
        <v>5000000</v>
      </c>
    </row>
    <row r="39" spans="1:4" x14ac:dyDescent="0.3">
      <c r="A39" t="s">
        <v>65</v>
      </c>
      <c r="B39" s="18">
        <f>AVERAGEIFS($D$2:$D$22, $A$2:$A$22, "Gbagada", $B$2:$B$22, "1-bed")</f>
        <v>2500000</v>
      </c>
      <c r="C39" s="18">
        <f>AVERAGEIFS($D$2:$D$22, $A$2:$A$22, "Gbagada", $B$2:$B$22, "2-bed")</f>
        <v>4350000</v>
      </c>
      <c r="D39" s="18">
        <f>AVERAGEIFS($D$2:$D$22, $A$2:$A$22, "Gbagada", $B$2:$B$22, "3-bed")</f>
        <v>7000000</v>
      </c>
    </row>
    <row r="40" spans="1:4" x14ac:dyDescent="0.3">
      <c r="A40" t="s">
        <v>66</v>
      </c>
      <c r="B40" s="18">
        <f>AVERAGEIFS($D$2:$D$22, $A$2:$A$22, "Ikeja", $B$2:$B$22, "1-bed")</f>
        <v>2300000</v>
      </c>
      <c r="C40" s="18">
        <f>AVERAGEIFS($D$2:$D$22, $A$2:$A$22, "Ikeja", $B$2:$B$22, "2-bed")</f>
        <v>4000000</v>
      </c>
      <c r="D40" s="18">
        <f>AVERAGEIFS($D$2:$D$22, $A$2:$A$22, "Ikeja", $B$2:$B$22, "3-bed")</f>
        <v>8500000</v>
      </c>
    </row>
    <row r="41" spans="1:4" x14ac:dyDescent="0.3">
      <c r="A41" t="s">
        <v>88</v>
      </c>
      <c r="B41" s="18">
        <f>AVERAGEIFS($D$2:$D$22, $A$2:$A$22, "Lekki", $B$2:$B$22, "1-bed")</f>
        <v>4500000</v>
      </c>
      <c r="C41" s="18">
        <f>AVERAGEIFS($D$2:$D$22, $A$2:$A$22, "Lekki", $B$2:$B$22, "2-bed")</f>
        <v>10000000</v>
      </c>
      <c r="D41" s="18">
        <f>AVERAGEIFS($D$2:$D$22, $A$2:$A$22, "Lekki", $B$2:$B$22, "3-bed")</f>
        <v>15000000</v>
      </c>
    </row>
    <row r="42" spans="1:4" x14ac:dyDescent="0.3">
      <c r="A42" t="s">
        <v>92</v>
      </c>
      <c r="B42" s="18">
        <f>AVERAGEIFS($D$2:$D$22, $A$2:$A$22, "Ajah", $B$2:$B$22, "1-bed")</f>
        <v>1900000</v>
      </c>
      <c r="C42" s="18">
        <f>AVERAGEIFS($D$2:$D$22, $A$2:$A$22, "Ajah", $B$2:$B$22, "2-bed")</f>
        <v>3000000</v>
      </c>
      <c r="D42" s="18">
        <f>AVERAGEIFS($D$2:$D$22, $A$2:$A$22, "Ajah", $B$2:$B$22, "3-bed")</f>
        <v>4000000</v>
      </c>
    </row>
    <row r="43" spans="1:4" x14ac:dyDescent="0.3">
      <c r="A43" t="s">
        <v>67</v>
      </c>
      <c r="B43" s="18">
        <f>AVERAGEIFS($D$2:$D$22, $A$2:$A$22, "Maryland", $B$2:$B$22, "1-bed")</f>
        <v>3500000</v>
      </c>
      <c r="C43" s="18">
        <f>AVERAGEIFS($D$2:$D$22, $A$2:$A$22, "Maryland", $B$2:$B$22, "2-bed")</f>
        <v>6000000</v>
      </c>
      <c r="D43" s="18">
        <f>AVERAGEIFS($D$2:$D$22, $A$2:$A$22, "Maryland", $B$2:$B$22, "3-bed")</f>
        <v>8000000</v>
      </c>
    </row>
    <row r="47" spans="1:4" x14ac:dyDescent="0.3">
      <c r="A47" t="s">
        <v>3</v>
      </c>
      <c r="B47" t="s">
        <v>437</v>
      </c>
      <c r="C47" s="14" t="s">
        <v>438</v>
      </c>
      <c r="D47" s="14" t="s">
        <v>439</v>
      </c>
    </row>
    <row r="48" spans="1:4" x14ac:dyDescent="0.3">
      <c r="A48" t="s">
        <v>92</v>
      </c>
      <c r="B48" s="21">
        <f>AVERAGEIFS($D$2:$D$22, $A$2:$A$22, "Ajah", $B$2:$B$22, "1-bed")/1000000</f>
        <v>1.9</v>
      </c>
      <c r="C48" s="21">
        <f>AVERAGEIFS($D$2:$D$22, $A$2:$A$22, "Ajah", $B$2:$B$22, "2-bed")/1000000</f>
        <v>3</v>
      </c>
      <c r="D48" s="21">
        <f>AVERAGEIFS($D$2:$D$22, $A$2:$A$22, "Ajah", $B$2:$B$22, "3-bed")/1000000</f>
        <v>4</v>
      </c>
    </row>
    <row r="49" spans="1:7" x14ac:dyDescent="0.3">
      <c r="A49" t="s">
        <v>65</v>
      </c>
      <c r="B49" s="21">
        <f>AVERAGEIFS($D$2:$D$22, $A$2:$A$22, "Gbagada", $B$2:$B$22, "1-bed")/1000000</f>
        <v>2.5</v>
      </c>
      <c r="C49" s="21">
        <f>AVERAGEIFS($D$2:$D$22, $A$2:$A$22, "Gbagada", $B$2:$B$22, "2-bed")/1000000</f>
        <v>4.3499999999999996</v>
      </c>
      <c r="D49" s="21">
        <f>AVERAGEIFS($D$2:$D$22, $A$2:$A$22, "Gbagada", $B$2:$B$22, "3-bed")/1000000</f>
        <v>7</v>
      </c>
    </row>
    <row r="50" spans="1:7" x14ac:dyDescent="0.3">
      <c r="A50" t="s">
        <v>66</v>
      </c>
      <c r="B50" s="21">
        <f>AVERAGEIFS($D$2:$D$22, $A$2:$A$22, "Ikeja", $B$2:$B$22, "1-bed")/1000000</f>
        <v>2.2999999999999998</v>
      </c>
      <c r="C50" s="21">
        <f>AVERAGEIFS($D$2:$D$22, $A$2:$A$22, "Ikeja", $B$2:$B$22, "2-bed")/1000000</f>
        <v>4</v>
      </c>
      <c r="D50" s="21">
        <f>AVERAGEIFS($D$2:$D$22, $A$2:$A$22, "Ikeja", $B$2:$B$22, "3-bed")/1000000</f>
        <v>8.5</v>
      </c>
    </row>
    <row r="51" spans="1:7" x14ac:dyDescent="0.3">
      <c r="A51" t="s">
        <v>88</v>
      </c>
      <c r="B51" s="21">
        <f>AVERAGEIFS($D$2:$D$22, $A$2:$A$22, "Lekki", $B$2:$B$22, "1-bed")/1000000</f>
        <v>4.5</v>
      </c>
      <c r="C51" s="21">
        <f>AVERAGEIFS($D$2:$D$22, $A$2:$A$22, "Lekki", $B$2:$B$22, "2-bed")/1000000</f>
        <v>10</v>
      </c>
      <c r="D51" s="21">
        <f>AVERAGEIFS($D$2:$D$22, $A$2:$A$22, "Lekki", $B$2:$B$22, "3-bed")/1000000</f>
        <v>15</v>
      </c>
    </row>
    <row r="52" spans="1:7" x14ac:dyDescent="0.3">
      <c r="A52" t="s">
        <v>67</v>
      </c>
      <c r="B52" s="21">
        <f>AVERAGEIFS($D$2:$D$22, $A$2:$A$22, "Maryland", $B$2:$B$22, "1-bed")/1000000</f>
        <v>3.5</v>
      </c>
      <c r="C52" s="21">
        <f>AVERAGEIFS($D$2:$D$22, $A$2:$A$22, "Maryland", $B$2:$B$22, "2-bed")/1000000</f>
        <v>6</v>
      </c>
      <c r="D52" s="21">
        <f>AVERAGEIFS($D$2:$D$22, $A$2:$A$22, "Maryland", $B$2:$B$22, "3-bed")/1000000</f>
        <v>8</v>
      </c>
    </row>
    <row r="53" spans="1:7" x14ac:dyDescent="0.3">
      <c r="A53" t="s">
        <v>64</v>
      </c>
      <c r="B53" s="21">
        <f>AVERAGEIFS($D$2:$D$22, $A$2:$A$22, "Surulere", $B$2:$B$22, "1-bed")/1000000</f>
        <v>2.5</v>
      </c>
      <c r="C53" s="21">
        <f>AVERAGEIFS($D$2:$D$22, $A$2:$A$22, "Surulere", $B$2:$B$22, "2-bed")/1000000</f>
        <v>4.25</v>
      </c>
      <c r="D53" s="21">
        <f>AVERAGEIFS($D$2:$D$22, $A$2:$A$22, "Surulere", $B$2:$B$22, "3-bed")/1000000</f>
        <v>5</v>
      </c>
    </row>
    <row r="54" spans="1:7" x14ac:dyDescent="0.3">
      <c r="A54" t="s">
        <v>62</v>
      </c>
      <c r="B54" s="21">
        <f>AVERAGEIFS($D$2:$D$22, $A$2:$A$22, "Yaba", $B$2:$B$22, "1-bed")/1000000</f>
        <v>2.5</v>
      </c>
      <c r="C54" s="21">
        <f>AVERAGEIFS($D$2:$D$22, $A$2:$A$22, "Yaba", $B$2:$B$22, "2-bed")/1000000</f>
        <v>4.5</v>
      </c>
      <c r="D54" s="21">
        <f>AVERAGEIFS($D$2:$D$22, $A$2:$A$22, "Yaba", $B$2:$B$22, "3-bed")/1000000</f>
        <v>6</v>
      </c>
    </row>
    <row r="57" spans="1:7" x14ac:dyDescent="0.3">
      <c r="A57" s="23" t="s">
        <v>3</v>
      </c>
      <c r="B57" s="24" t="s">
        <v>444</v>
      </c>
      <c r="C57" s="25" t="s">
        <v>445</v>
      </c>
      <c r="D57" s="9" t="s">
        <v>446</v>
      </c>
      <c r="E57" s="6"/>
      <c r="F57" s="8"/>
      <c r="G57" s="6"/>
    </row>
    <row r="58" spans="1:7" x14ac:dyDescent="0.3">
      <c r="A58" s="7" t="s">
        <v>92</v>
      </c>
      <c r="B58" s="22">
        <f>Analysis!C18/1000000</f>
        <v>2.5</v>
      </c>
      <c r="C58" s="13">
        <f>Analysis!D18/1000000</f>
        <v>3</v>
      </c>
      <c r="D58" s="10">
        <v>0.2</v>
      </c>
      <c r="E58" s="10">
        <f>(D18-C18)/C18</f>
        <v>0.2</v>
      </c>
    </row>
    <row r="59" spans="1:7" x14ac:dyDescent="0.3">
      <c r="A59" s="9" t="s">
        <v>65</v>
      </c>
      <c r="B59" s="13">
        <f>Analysis!C9/1000000</f>
        <v>3.3</v>
      </c>
      <c r="C59" s="13">
        <f>Analysis!D9/1000000</f>
        <v>4.3499999999999996</v>
      </c>
      <c r="D59" s="10">
        <v>0.31818181818181818</v>
      </c>
      <c r="E59" s="10">
        <f>(D9-C9)/C9</f>
        <v>0.31818181818181818</v>
      </c>
    </row>
    <row r="60" spans="1:7" x14ac:dyDescent="0.3">
      <c r="A60" s="7" t="s">
        <v>66</v>
      </c>
      <c r="B60" s="13">
        <f>Analysis!C12/1000000</f>
        <v>3</v>
      </c>
      <c r="C60" s="13">
        <f>Analysis!D12/1000000</f>
        <v>4</v>
      </c>
      <c r="D60" s="10">
        <v>0.33333333333333331</v>
      </c>
      <c r="E60" s="10">
        <f>(D12-C12)/C12</f>
        <v>0.33333333333333331</v>
      </c>
    </row>
    <row r="61" spans="1:7" x14ac:dyDescent="0.3">
      <c r="A61" s="9" t="s">
        <v>88</v>
      </c>
      <c r="B61" s="13">
        <f>Analysis!C15/1000000</f>
        <v>8</v>
      </c>
      <c r="C61" s="13">
        <f>Analysis!D15/1000000</f>
        <v>10</v>
      </c>
      <c r="D61" s="10">
        <v>0.25</v>
      </c>
      <c r="E61" s="10">
        <f>(D15-C15)/C15</f>
        <v>0.25</v>
      </c>
    </row>
    <row r="62" spans="1:7" x14ac:dyDescent="0.3">
      <c r="A62" s="7" t="s">
        <v>67</v>
      </c>
      <c r="B62" s="13">
        <f>Analysis!C21/1000000</f>
        <v>5</v>
      </c>
      <c r="C62" s="13">
        <f>Analysis!D21/1000000</f>
        <v>6</v>
      </c>
      <c r="D62" s="10">
        <v>0.2</v>
      </c>
      <c r="E62" s="10">
        <f>(D21-C21)/C21</f>
        <v>0.2</v>
      </c>
    </row>
    <row r="63" spans="1:7" x14ac:dyDescent="0.3">
      <c r="A63" s="9" t="s">
        <v>64</v>
      </c>
      <c r="B63" s="13">
        <f>Analysis!C6/1000000</f>
        <v>3.2</v>
      </c>
      <c r="C63" s="13">
        <f>Analysis!D6/1000000</f>
        <v>4.25</v>
      </c>
      <c r="D63" s="10">
        <v>0.328125</v>
      </c>
      <c r="E63" s="10">
        <f>(D6-C6)/C6</f>
        <v>0.328125</v>
      </c>
    </row>
    <row r="64" spans="1:7" x14ac:dyDescent="0.3">
      <c r="A64" s="7" t="s">
        <v>62</v>
      </c>
      <c r="B64" s="13">
        <f>Analysis!C3/1000000</f>
        <v>3</v>
      </c>
      <c r="C64" s="13">
        <f>Analysis!D3/1000000</f>
        <v>4.5</v>
      </c>
      <c r="D64" s="10">
        <v>0.5</v>
      </c>
      <c r="E64" s="10">
        <f>(D3-C3)/C3</f>
        <v>0.5</v>
      </c>
    </row>
    <row r="67" spans="1:5" x14ac:dyDescent="0.3">
      <c r="A67" s="29" t="s">
        <v>3</v>
      </c>
      <c r="B67" t="s">
        <v>447</v>
      </c>
      <c r="C67" s="14" t="s">
        <v>449</v>
      </c>
      <c r="D67" s="29" t="s">
        <v>450</v>
      </c>
      <c r="E67" t="s">
        <v>451</v>
      </c>
    </row>
    <row r="68" spans="1:5" ht="16.8" x14ac:dyDescent="0.3">
      <c r="A68" s="7" t="s">
        <v>66</v>
      </c>
      <c r="B68" s="34">
        <f>Analysis!I12</f>
        <v>2.4242424242424242E-2</v>
      </c>
      <c r="C68" s="32">
        <f>Analysis!J12</f>
        <v>41.25</v>
      </c>
      <c r="D68" s="7" t="s">
        <v>66</v>
      </c>
      <c r="E68" s="30">
        <v>41.25</v>
      </c>
    </row>
    <row r="69" spans="1:5" x14ac:dyDescent="0.3">
      <c r="A69" s="7" t="s">
        <v>67</v>
      </c>
      <c r="B69" s="33">
        <v>3.1578947368421054E-2</v>
      </c>
      <c r="C69" s="30">
        <f>Analysis!J21</f>
        <v>31.666666666666668</v>
      </c>
      <c r="D69" s="7" t="s">
        <v>67</v>
      </c>
      <c r="E69" s="30">
        <v>31.666666666666668</v>
      </c>
    </row>
    <row r="70" spans="1:5" x14ac:dyDescent="0.3">
      <c r="A70" s="7" t="s">
        <v>62</v>
      </c>
      <c r="B70" s="15">
        <f>Analysis!I3</f>
        <v>3.214285714285714E-2</v>
      </c>
      <c r="C70" s="30">
        <f>Analysis!J3</f>
        <v>31.111111111111111</v>
      </c>
      <c r="D70" s="7" t="s">
        <v>62</v>
      </c>
      <c r="E70" s="30">
        <v>31.111111111111111</v>
      </c>
    </row>
    <row r="71" spans="1:5" x14ac:dyDescent="0.3">
      <c r="A71" s="7" t="s">
        <v>92</v>
      </c>
      <c r="B71" s="15">
        <f>Analysis!I18</f>
        <v>3.5294117647058823E-2</v>
      </c>
      <c r="C71" s="30">
        <v>28.33</v>
      </c>
      <c r="D71" s="7" t="s">
        <v>92</v>
      </c>
      <c r="E71" s="30">
        <v>28.33</v>
      </c>
    </row>
    <row r="72" spans="1:5" x14ac:dyDescent="0.3">
      <c r="A72" s="9" t="s">
        <v>64</v>
      </c>
      <c r="B72" s="35">
        <f>Analysis!I6</f>
        <v>3.8636363636363635E-2</v>
      </c>
      <c r="C72" s="30">
        <f>Analysis!J6</f>
        <v>25.882352941176471</v>
      </c>
      <c r="D72" s="9" t="s">
        <v>64</v>
      </c>
      <c r="E72" s="30">
        <v>25.882352941176471</v>
      </c>
    </row>
    <row r="73" spans="1:5" x14ac:dyDescent="0.3">
      <c r="A73" s="9" t="s">
        <v>88</v>
      </c>
      <c r="B73" s="15">
        <f>Analysis!I15</f>
        <v>0.05</v>
      </c>
      <c r="C73" s="31">
        <f>Analysis!J15</f>
        <v>20</v>
      </c>
      <c r="D73" s="9" t="s">
        <v>88</v>
      </c>
      <c r="E73" s="30">
        <v>20</v>
      </c>
    </row>
    <row r="74" spans="1:5" x14ac:dyDescent="0.3">
      <c r="A74" s="9" t="s">
        <v>65</v>
      </c>
      <c r="B74" s="15">
        <f>Analysis!I9</f>
        <v>5.1176470588235295E-2</v>
      </c>
      <c r="C74" s="31">
        <f>Analysis!J9</f>
        <v>19.540229885057471</v>
      </c>
      <c r="D74" s="9" t="s">
        <v>65</v>
      </c>
      <c r="E74" s="30">
        <v>19.540229885057471</v>
      </c>
    </row>
  </sheetData>
  <sheetProtection algorithmName="SHA-512" hashValue="6GB5e5eXUp9S4ubqwjuZ+BcSsgQUB/1n5Cpjwr5Et0Jak5+wlTlYoT45RDKgjl/6shw32wUghaCP2lGkTwNfWg==" saltValue="d+RV0p5lrURsXxpgUukkIA==" spinCount="100000" sheet="1" objects="1" scenarios="1" selectLockedCells="1" selectUnlockedCells="1"/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42DF-DC85-4CCE-984B-3EB8AE8A0175}">
  <dimension ref="C5:V36"/>
  <sheetViews>
    <sheetView showGridLines="0" zoomScale="90" zoomScaleNormal="90" workbookViewId="0">
      <selection activeCell="W16" sqref="W16"/>
    </sheetView>
  </sheetViews>
  <sheetFormatPr defaultRowHeight="14.4" x14ac:dyDescent="0.3"/>
  <cols>
    <col min="21" max="21" width="16" bestFit="1" customWidth="1"/>
    <col min="22" max="22" width="12.88671875" bestFit="1" customWidth="1"/>
    <col min="23" max="23" width="8.33203125" bestFit="1" customWidth="1"/>
  </cols>
  <sheetData>
    <row r="5" spans="3:22" x14ac:dyDescent="0.3"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3:22" x14ac:dyDescent="0.3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3:22" x14ac:dyDescent="0.3"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3:22" x14ac:dyDescent="0.3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3:22" x14ac:dyDescent="0.3"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3:22" x14ac:dyDescent="0.3"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V10" s="20"/>
    </row>
    <row r="11" spans="3:22" x14ac:dyDescent="0.3"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3:22" x14ac:dyDescent="0.3"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V12" s="20"/>
    </row>
    <row r="13" spans="3:22" x14ac:dyDescent="0.3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3:22" x14ac:dyDescent="0.3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V14" s="20"/>
    </row>
    <row r="15" spans="3:22" x14ac:dyDescent="0.3"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3:22" x14ac:dyDescent="0.3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3:22" x14ac:dyDescent="0.3"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V17" s="20"/>
    </row>
    <row r="18" spans="3:22" x14ac:dyDescent="0.3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3:22" x14ac:dyDescent="0.3"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3:22" x14ac:dyDescent="0.3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3:22" x14ac:dyDescent="0.3"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3:22" x14ac:dyDescent="0.3"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14"/>
      <c r="V22" s="20"/>
    </row>
    <row r="23" spans="3:22" x14ac:dyDescent="0.3"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3:22" x14ac:dyDescent="0.3"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3:22" x14ac:dyDescent="0.3"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3:22" x14ac:dyDescent="0.3"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3:22" x14ac:dyDescent="0.3"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3:22" x14ac:dyDescent="0.3"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3:22" x14ac:dyDescent="0.3"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3:22" x14ac:dyDescent="0.3"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3:22" x14ac:dyDescent="0.3"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3:22" x14ac:dyDescent="0.3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3:22" x14ac:dyDescent="0.3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3:22" x14ac:dyDescent="0.3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3:22" x14ac:dyDescent="0.3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3:22" x14ac:dyDescent="0.3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</sheetData>
  <sheetProtection algorithmName="SHA-512" hashValue="3gtouQneCkCLlgpRs5iWahY9rQLV140fdc9YM7wb56RLoE+e0QI794WWIGsbFdIG4QSPsYfDO6gPKppakfDpzg==" saltValue="NYGIKW3REGQbx7GoL5tLXQ==" spinCount="100000"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Clean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Muh'Jamiu Muh'qoozim</dc:creator>
  <cp:lastModifiedBy>Muh'Jamiu Muh'qoozim</cp:lastModifiedBy>
  <dcterms:created xsi:type="dcterms:W3CDTF">2026-09-14T16:11:09Z</dcterms:created>
  <dcterms:modified xsi:type="dcterms:W3CDTF">2026-09-27T12:58:06Z</dcterms:modified>
</cp:coreProperties>
</file>